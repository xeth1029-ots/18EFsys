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330" windowWidth="27795" windowHeight="11610"/>
  </bookViews>
  <sheets>
    <sheet name="工作表1" sheetId="1" r:id="rId1"/>
    <sheet name="工作表2" sheetId="2" r:id="rId2"/>
    <sheet name="工作表3" sheetId="3" r:id="rId3"/>
  </sheets>
  <calcPr calcId="145621"/>
</workbook>
</file>

<file path=xl/calcChain.xml><?xml version="1.0" encoding="utf-8"?>
<calcChain xmlns="http://schemas.openxmlformats.org/spreadsheetml/2006/main">
  <c r="N28" i="1" l="1"/>
  <c r="P28" i="1" s="1"/>
  <c r="K27" i="1"/>
  <c r="J27" i="1"/>
  <c r="O26" i="1"/>
  <c r="K26" i="1"/>
  <c r="K29" i="1" s="1"/>
  <c r="J26" i="1"/>
  <c r="J29" i="1" s="1"/>
  <c r="K25" i="1"/>
  <c r="J25" i="1"/>
  <c r="P24" i="1"/>
  <c r="K21" i="1"/>
  <c r="J21" i="1"/>
  <c r="P20" i="1"/>
  <c r="K17" i="1"/>
  <c r="J17" i="1"/>
  <c r="P16" i="1"/>
  <c r="K13" i="1"/>
  <c r="J13" i="1"/>
  <c r="P12" i="1"/>
  <c r="K9" i="1"/>
  <c r="J9" i="1"/>
  <c r="P8" i="1"/>
</calcChain>
</file>

<file path=xl/sharedStrings.xml><?xml version="1.0" encoding="utf-8"?>
<sst xmlns="http://schemas.openxmlformats.org/spreadsheetml/2006/main" count="308" uniqueCount="45">
  <si>
    <t xml:space="preserve">113年度上半年產業人才投資計畫管制類課程比例五分署彙總表  </t>
    <phoneticPr fontId="1" type="noConversion"/>
  </si>
  <si>
    <t>計畫別</t>
    <phoneticPr fontId="1" type="noConversion"/>
  </si>
  <si>
    <t>分署</t>
    <phoneticPr fontId="1" type="noConversion"/>
  </si>
  <si>
    <t>管制課程
類別</t>
    <phoneticPr fontId="1" type="noConversion"/>
  </si>
  <si>
    <t>以104年為基期核定情形</t>
    <phoneticPr fontId="1" type="noConversion"/>
  </si>
  <si>
    <t>以106年為基期核定情形</t>
    <phoneticPr fontId="1" type="noConversion"/>
  </si>
  <si>
    <t>超過核定比例原因</t>
    <phoneticPr fontId="1" type="noConversion"/>
  </si>
  <si>
    <t>104年度管制類課程</t>
    <phoneticPr fontId="1" type="noConversion"/>
  </si>
  <si>
    <t>113上半年管制類課程</t>
    <phoneticPr fontId="1" type="noConversion"/>
  </si>
  <si>
    <t>106年餐飲類課程</t>
    <phoneticPr fontId="1" type="noConversion"/>
  </si>
  <si>
    <t>核定總補助費</t>
    <phoneticPr fontId="1" type="noConversion"/>
  </si>
  <si>
    <t>核定
總班次</t>
    <phoneticPr fontId="1" type="noConversion"/>
  </si>
  <si>
    <t>管制類課程
核定總補助費(B)</t>
    <phoneticPr fontId="1" type="noConversion"/>
  </si>
  <si>
    <t>管制類課程補助費占比</t>
    <phoneticPr fontId="1" type="noConversion"/>
  </si>
  <si>
    <t>管制類課程核定班次(D)</t>
    <phoneticPr fontId="1" type="noConversion"/>
  </si>
  <si>
    <t>管制類核定班次占比</t>
    <phoneticPr fontId="1" type="noConversion"/>
  </si>
  <si>
    <t>核定
總補助費
(A)</t>
    <phoneticPr fontId="1" type="noConversion"/>
  </si>
  <si>
    <t>核定
總班次(C)</t>
    <phoneticPr fontId="1" type="noConversion"/>
  </si>
  <si>
    <t>核配總補助費之規模比率(B/A)</t>
    <phoneticPr fontId="1" type="noConversion"/>
  </si>
  <si>
    <t>核配班次之規模比率
(D/C)</t>
    <phoneticPr fontId="1" type="noConversion"/>
  </si>
  <si>
    <t>餐飲類課程核定總班次</t>
    <phoneticPr fontId="1" type="noConversion"/>
  </si>
  <si>
    <t>總核定
班次</t>
    <phoneticPr fontId="1" type="noConversion"/>
  </si>
  <si>
    <t>餐飲類課程核定比率</t>
    <phoneticPr fontId="1" type="noConversion"/>
  </si>
  <si>
    <t>餐飲類課程
核定比率</t>
    <phoneticPr fontId="1" type="noConversion"/>
  </si>
  <si>
    <t xml:space="preserve">產投
</t>
    <phoneticPr fontId="1" type="noConversion"/>
  </si>
  <si>
    <t>北分署</t>
    <phoneticPr fontId="1" type="noConversion"/>
  </si>
  <si>
    <t>手工藝類(5%)</t>
    <phoneticPr fontId="1" type="noConversion"/>
  </si>
  <si>
    <t>-</t>
    <phoneticPr fontId="1" type="noConversion"/>
  </si>
  <si>
    <t>美容美髮類(5%)</t>
    <phoneticPr fontId="1" type="noConversion"/>
  </si>
  <si>
    <t>餐飲類(15%)</t>
    <phoneticPr fontId="1" type="noConversion"/>
  </si>
  <si>
    <t>加總(25%)</t>
    <phoneticPr fontId="1" type="noConversion"/>
  </si>
  <si>
    <t>桃分署</t>
    <phoneticPr fontId="1" type="noConversion"/>
  </si>
  <si>
    <t>中分署</t>
    <phoneticPr fontId="1" type="noConversion"/>
  </si>
  <si>
    <t>南分署</t>
    <phoneticPr fontId="1" type="noConversion"/>
  </si>
  <si>
    <t>高分署</t>
    <phoneticPr fontId="1" type="noConversion"/>
  </si>
  <si>
    <t>五分署</t>
    <phoneticPr fontId="1" type="noConversion"/>
  </si>
  <si>
    <t>※ 手工藝製作課程：業別代碼─02-04、07-01、07-03</t>
    <phoneticPr fontId="1" type="noConversion"/>
  </si>
  <si>
    <t>※ 美容美髮彩粧課程：業別代碼─03-02、03-03、03-04、03-05</t>
    <phoneticPr fontId="1" type="noConversion"/>
  </si>
  <si>
    <t>※ 餐飲及食品加工類：業別代碼─21-01、21-02、21-03、30-01、30-02</t>
    <phoneticPr fontId="1" type="noConversion"/>
  </si>
  <si>
    <t>※ 產投計畫美容美髮彩妝、手工藝製作各不得超過5％，且以不超過104年度核定規模為原則，餐飲及食品加工類不超15%（且不超過分署106核定之比率）。</t>
    <phoneticPr fontId="1" type="noConversion"/>
  </si>
  <si>
    <t>※ 考量南分屬美容美髮類104年基期較低，故前已同意手工藝與美容美髮合併計算。</t>
    <phoneticPr fontId="1" type="noConversion"/>
  </si>
  <si>
    <t>-</t>
    <phoneticPr fontId="1" type="noConversion"/>
  </si>
  <si>
    <t>-</t>
    <phoneticPr fontId="1" type="noConversion"/>
  </si>
  <si>
    <t>113年上半年餐飲類課程</t>
    <phoneticPr fontId="1" type="noConversion"/>
  </si>
  <si>
    <t>113上半年課程核定情形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</si>
</sst>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6" formatCode="&quot;$&quot;#,##0;[Red]\-&quot;$&quot;#,##0"/>
  </numFmts>
  <fonts count="10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8"/>
      <color theme="1"/>
      <name val="標楷體"/>
      <family val="4"/>
      <charset val="136"/>
    </font>
    <font>
      <sz val="12"/>
      <color theme="1"/>
      <name val="標楷體"/>
      <family val="4"/>
      <charset val="136"/>
    </font>
    <font>
      <b/>
      <sz val="16"/>
      <color theme="1"/>
      <name val="標楷體"/>
      <family val="4"/>
      <charset val="136"/>
    </font>
    <font>
      <b/>
      <sz val="16"/>
      <name val="標楷體"/>
      <family val="4"/>
      <charset val="136"/>
    </font>
    <font>
      <b/>
      <sz val="14"/>
      <color theme="1"/>
      <name val="標楷體"/>
      <family val="4"/>
      <charset val="136"/>
    </font>
    <font>
      <sz val="16"/>
      <color theme="1"/>
      <name val="標楷體"/>
      <family val="4"/>
      <charset val="136"/>
    </font>
    <font>
      <sz val="16"/>
      <name val="標楷體"/>
      <family val="4"/>
      <charset val="136"/>
    </font>
    <font>
      <sz val="14"/>
      <color theme="1"/>
      <name val="標楷體"/>
      <family val="4"/>
      <charset val="136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6" fontId="5" fillId="2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6" fontId="8" fillId="0" borderId="1" xfId="0" applyNumberFormat="1" applyFont="1" applyBorder="1">
      <alignment vertical="center"/>
    </xf>
    <xf numFmtId="9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3" fontId="8" fillId="0" borderId="1" xfId="0" applyNumberFormat="1" applyFont="1" applyBorder="1" applyAlignment="1">
      <alignment horizontal="center" vertical="center"/>
    </xf>
    <xf numFmtId="0" fontId="9" fillId="0" borderId="5" xfId="0" applyFont="1" applyBorder="1">
      <alignment vertical="center"/>
    </xf>
    <xf numFmtId="0" fontId="9" fillId="0" borderId="1" xfId="0" applyFont="1" applyBorder="1">
      <alignment vertical="center"/>
    </xf>
    <xf numFmtId="6" fontId="8" fillId="0" borderId="1" xfId="0" applyNumberFormat="1" applyFont="1" applyBorder="1" applyAlignment="1">
      <alignment horizontal="center" vertical="center"/>
    </xf>
    <xf numFmtId="10" fontId="8" fillId="0" borderId="1" xfId="0" applyNumberFormat="1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6" fontId="8" fillId="3" borderId="1" xfId="0" applyNumberFormat="1" applyFont="1" applyFill="1" applyBorder="1" applyAlignment="1">
      <alignment horizontal="center" vertical="center"/>
    </xf>
    <xf numFmtId="6" fontId="8" fillId="3" borderId="1" xfId="0" applyNumberFormat="1" applyFont="1" applyFill="1" applyBorder="1">
      <alignment vertical="center"/>
    </xf>
    <xf numFmtId="9" fontId="8" fillId="3" borderId="1" xfId="0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3" fontId="8" fillId="3" borderId="1" xfId="0" applyNumberFormat="1" applyFont="1" applyFill="1" applyBorder="1" applyAlignment="1">
      <alignment horizontal="center" vertical="center"/>
    </xf>
    <xf numFmtId="6" fontId="0" fillId="0" borderId="0" xfId="0" applyNumberFormat="1">
      <alignment vertical="center"/>
    </xf>
    <xf numFmtId="6" fontId="3" fillId="0" borderId="0" xfId="0" applyNumberFormat="1" applyFont="1">
      <alignment vertical="center"/>
    </xf>
    <xf numFmtId="3" fontId="8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6" fontId="8" fillId="0" borderId="1" xfId="0" applyNumberFormat="1" applyFont="1" applyBorder="1" applyAlignment="1">
      <alignment horizontal="center" vertical="center"/>
    </xf>
    <xf numFmtId="6" fontId="8" fillId="0" borderId="1" xfId="0" applyNumberFormat="1" applyFont="1" applyBorder="1" applyAlignment="1">
      <alignment horizontal="right" vertical="center"/>
    </xf>
    <xf numFmtId="0" fontId="7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6" fontId="5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34"/>
  <sheetViews>
    <sheetView tabSelected="1" zoomScale="60" zoomScaleNormal="60" workbookViewId="0">
      <selection activeCell="A2" sqref="A2"/>
    </sheetView>
  </sheetViews>
  <sheetFormatPr defaultRowHeight="16.5" x14ac:dyDescent="0.25"/>
  <cols>
    <col min="1" max="1" width="5.625" customWidth="1"/>
    <col min="2" max="2" width="11.625" customWidth="1"/>
    <col min="3" max="3" width="24.625" customWidth="1"/>
    <col min="4" max="4" width="22.625" customWidth="1"/>
    <col min="5" max="5" width="13.625" customWidth="1"/>
    <col min="6" max="6" width="22.625" customWidth="1"/>
    <col min="7" max="9" width="16.625" customWidth="1"/>
    <col min="10" max="10" width="20.625" customWidth="1"/>
    <col min="11" max="11" width="13.625" customWidth="1"/>
    <col min="12" max="13" width="16.625" customWidth="1"/>
    <col min="14" max="14" width="13.625" customWidth="1"/>
    <col min="15" max="15" width="11.625" customWidth="1"/>
    <col min="16" max="16" width="13.625" customWidth="1"/>
    <col min="17" max="17" width="20.625" customWidth="1"/>
    <col min="18" max="18" width="23.625" customWidth="1"/>
  </cols>
  <sheetData>
    <row r="1" spans="1:18" ht="25.5" x14ac:dyDescent="0.25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</row>
    <row r="2" spans="1:18" ht="26.25" thickBo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2"/>
    </row>
    <row r="3" spans="1:18" ht="33" customHeight="1" x14ac:dyDescent="0.25">
      <c r="A3" s="34" t="s">
        <v>1</v>
      </c>
      <c r="B3" s="34" t="s">
        <v>2</v>
      </c>
      <c r="C3" s="34" t="s">
        <v>3</v>
      </c>
      <c r="D3" s="35" t="s">
        <v>44</v>
      </c>
      <c r="E3" s="35"/>
      <c r="F3" s="35"/>
      <c r="G3" s="35"/>
      <c r="H3" s="35"/>
      <c r="I3" s="35"/>
      <c r="J3" s="32" t="s">
        <v>4</v>
      </c>
      <c r="K3" s="32"/>
      <c r="L3" s="32"/>
      <c r="M3" s="32"/>
      <c r="N3" s="32" t="s">
        <v>5</v>
      </c>
      <c r="O3" s="32"/>
      <c r="P3" s="32"/>
      <c r="Q3" s="32"/>
      <c r="R3" s="29" t="s">
        <v>6</v>
      </c>
    </row>
    <row r="4" spans="1:18" ht="77.099999999999994" customHeight="1" x14ac:dyDescent="0.25">
      <c r="A4" s="34"/>
      <c r="B4" s="34"/>
      <c r="C4" s="34"/>
      <c r="D4" s="35"/>
      <c r="E4" s="35"/>
      <c r="F4" s="35"/>
      <c r="G4" s="35"/>
      <c r="H4" s="35"/>
      <c r="I4" s="35"/>
      <c r="J4" s="32" t="s">
        <v>7</v>
      </c>
      <c r="K4" s="32"/>
      <c r="L4" s="33" t="s">
        <v>8</v>
      </c>
      <c r="M4" s="33"/>
      <c r="N4" s="33" t="s">
        <v>9</v>
      </c>
      <c r="O4" s="33"/>
      <c r="P4" s="33"/>
      <c r="Q4" s="3" t="s">
        <v>43</v>
      </c>
      <c r="R4" s="30"/>
    </row>
    <row r="5" spans="1:18" ht="69.95" customHeight="1" thickBot="1" x14ac:dyDescent="0.3">
      <c r="A5" s="34"/>
      <c r="B5" s="34"/>
      <c r="C5" s="34"/>
      <c r="D5" s="4" t="s">
        <v>10</v>
      </c>
      <c r="E5" s="3" t="s">
        <v>11</v>
      </c>
      <c r="F5" s="3" t="s">
        <v>12</v>
      </c>
      <c r="G5" s="3" t="s">
        <v>13</v>
      </c>
      <c r="H5" s="3" t="s">
        <v>14</v>
      </c>
      <c r="I5" s="3" t="s">
        <v>15</v>
      </c>
      <c r="J5" s="5" t="s">
        <v>16</v>
      </c>
      <c r="K5" s="5" t="s">
        <v>17</v>
      </c>
      <c r="L5" s="3" t="s">
        <v>18</v>
      </c>
      <c r="M5" s="3" t="s">
        <v>19</v>
      </c>
      <c r="N5" s="3" t="s">
        <v>20</v>
      </c>
      <c r="O5" s="3" t="s">
        <v>21</v>
      </c>
      <c r="P5" s="3" t="s">
        <v>22</v>
      </c>
      <c r="Q5" s="3" t="s">
        <v>23</v>
      </c>
      <c r="R5" s="31"/>
    </row>
    <row r="6" spans="1:18" ht="21" x14ac:dyDescent="0.25">
      <c r="A6" s="27" t="s">
        <v>24</v>
      </c>
      <c r="B6" s="24" t="s">
        <v>25</v>
      </c>
      <c r="C6" s="6" t="s">
        <v>26</v>
      </c>
      <c r="D6" s="25" t="s">
        <v>41</v>
      </c>
      <c r="E6" s="23" t="s">
        <v>41</v>
      </c>
      <c r="F6" s="13" t="s">
        <v>41</v>
      </c>
      <c r="G6" s="8" t="s">
        <v>42</v>
      </c>
      <c r="H6" s="9" t="s">
        <v>41</v>
      </c>
      <c r="I6" s="8" t="s">
        <v>42</v>
      </c>
      <c r="J6" s="7">
        <v>6552696</v>
      </c>
      <c r="K6" s="10">
        <v>41</v>
      </c>
      <c r="L6" s="8" t="s">
        <v>42</v>
      </c>
      <c r="M6" s="8" t="s">
        <v>42</v>
      </c>
      <c r="N6" s="10" t="s">
        <v>27</v>
      </c>
      <c r="O6" s="23">
        <v>759</v>
      </c>
      <c r="P6" s="8" t="s">
        <v>27</v>
      </c>
      <c r="Q6" s="8" t="s">
        <v>42</v>
      </c>
      <c r="R6" s="11"/>
    </row>
    <row r="7" spans="1:18" ht="21" x14ac:dyDescent="0.25">
      <c r="A7" s="27"/>
      <c r="B7" s="24"/>
      <c r="C7" s="6" t="s">
        <v>28</v>
      </c>
      <c r="D7" s="25"/>
      <c r="E7" s="23"/>
      <c r="F7" s="13" t="s">
        <v>41</v>
      </c>
      <c r="G7" s="8" t="s">
        <v>42</v>
      </c>
      <c r="H7" s="9" t="s">
        <v>41</v>
      </c>
      <c r="I7" s="8" t="s">
        <v>42</v>
      </c>
      <c r="J7" s="7">
        <v>7250848</v>
      </c>
      <c r="K7" s="10">
        <v>53</v>
      </c>
      <c r="L7" s="8" t="s">
        <v>42</v>
      </c>
      <c r="M7" s="8" t="s">
        <v>42</v>
      </c>
      <c r="N7" s="10" t="s">
        <v>27</v>
      </c>
      <c r="O7" s="23"/>
      <c r="P7" s="8" t="s">
        <v>27</v>
      </c>
      <c r="Q7" s="8" t="s">
        <v>42</v>
      </c>
      <c r="R7" s="12"/>
    </row>
    <row r="8" spans="1:18" ht="21" x14ac:dyDescent="0.25">
      <c r="A8" s="27"/>
      <c r="B8" s="24"/>
      <c r="C8" s="6" t="s">
        <v>29</v>
      </c>
      <c r="D8" s="25"/>
      <c r="E8" s="23"/>
      <c r="F8" s="13" t="s">
        <v>41</v>
      </c>
      <c r="G8" s="8" t="s">
        <v>41</v>
      </c>
      <c r="H8" s="9" t="s">
        <v>41</v>
      </c>
      <c r="I8" s="8" t="s">
        <v>41</v>
      </c>
      <c r="J8" s="13" t="s">
        <v>27</v>
      </c>
      <c r="K8" s="10" t="s">
        <v>27</v>
      </c>
      <c r="L8" s="8" t="s">
        <v>41</v>
      </c>
      <c r="M8" s="8" t="s">
        <v>41</v>
      </c>
      <c r="N8" s="10">
        <v>55</v>
      </c>
      <c r="O8" s="23"/>
      <c r="P8" s="14">
        <f>N8/O6</f>
        <v>7.2463768115942032E-2</v>
      </c>
      <c r="Q8" s="8" t="s">
        <v>41</v>
      </c>
      <c r="R8" s="12"/>
    </row>
    <row r="9" spans="1:18" ht="21" x14ac:dyDescent="0.25">
      <c r="A9" s="27"/>
      <c r="B9" s="24"/>
      <c r="C9" s="15" t="s">
        <v>30</v>
      </c>
      <c r="D9" s="16" t="s">
        <v>27</v>
      </c>
      <c r="E9" s="16" t="s">
        <v>27</v>
      </c>
      <c r="F9" s="16" t="s">
        <v>41</v>
      </c>
      <c r="G9" s="18" t="s">
        <v>41</v>
      </c>
      <c r="H9" s="19" t="s">
        <v>41</v>
      </c>
      <c r="I9" s="18" t="s">
        <v>41</v>
      </c>
      <c r="J9" s="17">
        <f t="shared" ref="J9:K9" si="0">SUM(J6:J8)</f>
        <v>13803544</v>
      </c>
      <c r="K9" s="20">
        <f t="shared" si="0"/>
        <v>94</v>
      </c>
      <c r="L9" s="18" t="s">
        <v>41</v>
      </c>
      <c r="M9" s="18" t="s">
        <v>41</v>
      </c>
      <c r="N9" s="16" t="s">
        <v>27</v>
      </c>
      <c r="O9" s="16" t="s">
        <v>27</v>
      </c>
      <c r="P9" s="16" t="s">
        <v>27</v>
      </c>
      <c r="Q9" s="18" t="s">
        <v>41</v>
      </c>
      <c r="R9" s="12"/>
    </row>
    <row r="10" spans="1:18" ht="21" x14ac:dyDescent="0.25">
      <c r="A10" s="27"/>
      <c r="B10" s="24" t="s">
        <v>31</v>
      </c>
      <c r="C10" s="6" t="s">
        <v>26</v>
      </c>
      <c r="D10" s="25" t="s">
        <v>41</v>
      </c>
      <c r="E10" s="23" t="s">
        <v>41</v>
      </c>
      <c r="F10" s="13" t="s">
        <v>41</v>
      </c>
      <c r="G10" s="8" t="s">
        <v>42</v>
      </c>
      <c r="H10" s="9" t="s">
        <v>41</v>
      </c>
      <c r="I10" s="8" t="s">
        <v>42</v>
      </c>
      <c r="J10" s="7">
        <v>8340840</v>
      </c>
      <c r="K10" s="10">
        <v>49</v>
      </c>
      <c r="L10" s="8" t="s">
        <v>42</v>
      </c>
      <c r="M10" s="8" t="s">
        <v>42</v>
      </c>
      <c r="N10" s="10" t="s">
        <v>27</v>
      </c>
      <c r="O10" s="23">
        <v>497</v>
      </c>
      <c r="P10" s="8" t="s">
        <v>27</v>
      </c>
      <c r="Q10" s="8" t="s">
        <v>42</v>
      </c>
      <c r="R10" s="12"/>
    </row>
    <row r="11" spans="1:18" ht="21" x14ac:dyDescent="0.25">
      <c r="A11" s="27"/>
      <c r="B11" s="24"/>
      <c r="C11" s="6" t="s">
        <v>28</v>
      </c>
      <c r="D11" s="25"/>
      <c r="E11" s="23"/>
      <c r="F11" s="13" t="s">
        <v>41</v>
      </c>
      <c r="G11" s="8" t="s">
        <v>42</v>
      </c>
      <c r="H11" s="9" t="s">
        <v>41</v>
      </c>
      <c r="I11" s="8" t="s">
        <v>42</v>
      </c>
      <c r="J11" s="7">
        <v>8849616</v>
      </c>
      <c r="K11" s="10">
        <v>47</v>
      </c>
      <c r="L11" s="8" t="s">
        <v>42</v>
      </c>
      <c r="M11" s="8" t="s">
        <v>42</v>
      </c>
      <c r="N11" s="10" t="s">
        <v>27</v>
      </c>
      <c r="O11" s="23"/>
      <c r="P11" s="8" t="s">
        <v>27</v>
      </c>
      <c r="Q11" s="8" t="s">
        <v>42</v>
      </c>
      <c r="R11" s="12"/>
    </row>
    <row r="12" spans="1:18" ht="21" x14ac:dyDescent="0.25">
      <c r="A12" s="27"/>
      <c r="B12" s="24"/>
      <c r="C12" s="6" t="s">
        <v>29</v>
      </c>
      <c r="D12" s="25"/>
      <c r="E12" s="23"/>
      <c r="F12" s="13" t="s">
        <v>41</v>
      </c>
      <c r="G12" s="8" t="s">
        <v>41</v>
      </c>
      <c r="H12" s="9" t="s">
        <v>41</v>
      </c>
      <c r="I12" s="8" t="s">
        <v>41</v>
      </c>
      <c r="J12" s="13" t="s">
        <v>27</v>
      </c>
      <c r="K12" s="10" t="s">
        <v>27</v>
      </c>
      <c r="L12" s="8" t="s">
        <v>41</v>
      </c>
      <c r="M12" s="8" t="s">
        <v>41</v>
      </c>
      <c r="N12" s="10">
        <v>48</v>
      </c>
      <c r="O12" s="23"/>
      <c r="P12" s="14">
        <f>N12/O10</f>
        <v>9.6579476861166996E-2</v>
      </c>
      <c r="Q12" s="8" t="s">
        <v>41</v>
      </c>
      <c r="R12" s="12"/>
    </row>
    <row r="13" spans="1:18" ht="21" x14ac:dyDescent="0.25">
      <c r="A13" s="27"/>
      <c r="B13" s="24"/>
      <c r="C13" s="15" t="s">
        <v>30</v>
      </c>
      <c r="D13" s="16" t="s">
        <v>27</v>
      </c>
      <c r="E13" s="16" t="s">
        <v>27</v>
      </c>
      <c r="F13" s="16" t="s">
        <v>41</v>
      </c>
      <c r="G13" s="18" t="s">
        <v>41</v>
      </c>
      <c r="H13" s="19" t="s">
        <v>41</v>
      </c>
      <c r="I13" s="18" t="s">
        <v>41</v>
      </c>
      <c r="J13" s="17">
        <f t="shared" ref="J13:K13" si="1">SUM(J10:J12)</f>
        <v>17190456</v>
      </c>
      <c r="K13" s="20">
        <f t="shared" si="1"/>
        <v>96</v>
      </c>
      <c r="L13" s="18" t="s">
        <v>41</v>
      </c>
      <c r="M13" s="18" t="s">
        <v>41</v>
      </c>
      <c r="N13" s="16" t="s">
        <v>27</v>
      </c>
      <c r="O13" s="16" t="s">
        <v>27</v>
      </c>
      <c r="P13" s="16" t="s">
        <v>27</v>
      </c>
      <c r="Q13" s="18" t="s">
        <v>41</v>
      </c>
      <c r="R13" s="12"/>
    </row>
    <row r="14" spans="1:18" ht="21" x14ac:dyDescent="0.25">
      <c r="A14" s="27"/>
      <c r="B14" s="24" t="s">
        <v>32</v>
      </c>
      <c r="C14" s="6" t="s">
        <v>26</v>
      </c>
      <c r="D14" s="25" t="s">
        <v>41</v>
      </c>
      <c r="E14" s="23" t="s">
        <v>41</v>
      </c>
      <c r="F14" s="13" t="s">
        <v>41</v>
      </c>
      <c r="G14" s="8" t="s">
        <v>42</v>
      </c>
      <c r="H14" s="9" t="s">
        <v>41</v>
      </c>
      <c r="I14" s="8" t="s">
        <v>42</v>
      </c>
      <c r="J14" s="7">
        <v>13202768</v>
      </c>
      <c r="K14" s="10">
        <v>69</v>
      </c>
      <c r="L14" s="8" t="s">
        <v>42</v>
      </c>
      <c r="M14" s="8" t="s">
        <v>42</v>
      </c>
      <c r="N14" s="10" t="s">
        <v>27</v>
      </c>
      <c r="O14" s="23">
        <v>734</v>
      </c>
      <c r="P14" s="8" t="s">
        <v>27</v>
      </c>
      <c r="Q14" s="8" t="s">
        <v>42</v>
      </c>
      <c r="R14" s="12"/>
    </row>
    <row r="15" spans="1:18" ht="21" x14ac:dyDescent="0.25">
      <c r="A15" s="27"/>
      <c r="B15" s="24"/>
      <c r="C15" s="6" t="s">
        <v>28</v>
      </c>
      <c r="D15" s="25"/>
      <c r="E15" s="23"/>
      <c r="F15" s="13" t="s">
        <v>41</v>
      </c>
      <c r="G15" s="8" t="s">
        <v>42</v>
      </c>
      <c r="H15" s="9" t="s">
        <v>41</v>
      </c>
      <c r="I15" s="8" t="s">
        <v>42</v>
      </c>
      <c r="J15" s="7">
        <v>5162016</v>
      </c>
      <c r="K15" s="10">
        <v>36</v>
      </c>
      <c r="L15" s="8" t="s">
        <v>42</v>
      </c>
      <c r="M15" s="8" t="s">
        <v>42</v>
      </c>
      <c r="N15" s="10" t="s">
        <v>27</v>
      </c>
      <c r="O15" s="23"/>
      <c r="P15" s="8" t="s">
        <v>27</v>
      </c>
      <c r="Q15" s="8" t="s">
        <v>42</v>
      </c>
      <c r="R15" s="12"/>
    </row>
    <row r="16" spans="1:18" ht="21" x14ac:dyDescent="0.25">
      <c r="A16" s="27"/>
      <c r="B16" s="24"/>
      <c r="C16" s="6" t="s">
        <v>29</v>
      </c>
      <c r="D16" s="25"/>
      <c r="E16" s="23"/>
      <c r="F16" s="13" t="s">
        <v>41</v>
      </c>
      <c r="G16" s="8" t="s">
        <v>41</v>
      </c>
      <c r="H16" s="9" t="s">
        <v>41</v>
      </c>
      <c r="I16" s="8" t="s">
        <v>41</v>
      </c>
      <c r="J16" s="13" t="s">
        <v>27</v>
      </c>
      <c r="K16" s="10" t="s">
        <v>27</v>
      </c>
      <c r="L16" s="8" t="s">
        <v>41</v>
      </c>
      <c r="M16" s="8" t="s">
        <v>41</v>
      </c>
      <c r="N16" s="10">
        <v>115</v>
      </c>
      <c r="O16" s="23"/>
      <c r="P16" s="14">
        <f>N16/O14</f>
        <v>0.1566757493188011</v>
      </c>
      <c r="Q16" s="8" t="s">
        <v>41</v>
      </c>
      <c r="R16" s="12"/>
    </row>
    <row r="17" spans="1:18" ht="21" x14ac:dyDescent="0.25">
      <c r="A17" s="27"/>
      <c r="B17" s="24"/>
      <c r="C17" s="15" t="s">
        <v>30</v>
      </c>
      <c r="D17" s="16" t="s">
        <v>27</v>
      </c>
      <c r="E17" s="16" t="s">
        <v>27</v>
      </c>
      <c r="F17" s="16" t="s">
        <v>41</v>
      </c>
      <c r="G17" s="18" t="s">
        <v>41</v>
      </c>
      <c r="H17" s="19" t="s">
        <v>41</v>
      </c>
      <c r="I17" s="18" t="s">
        <v>41</v>
      </c>
      <c r="J17" s="17">
        <f t="shared" ref="J17:K17" si="2">SUM(J14:J16)</f>
        <v>18364784</v>
      </c>
      <c r="K17" s="20">
        <f t="shared" si="2"/>
        <v>105</v>
      </c>
      <c r="L17" s="18" t="s">
        <v>41</v>
      </c>
      <c r="M17" s="18" t="s">
        <v>41</v>
      </c>
      <c r="N17" s="16" t="s">
        <v>27</v>
      </c>
      <c r="O17" s="16" t="s">
        <v>27</v>
      </c>
      <c r="P17" s="16" t="s">
        <v>27</v>
      </c>
      <c r="Q17" s="18" t="s">
        <v>41</v>
      </c>
      <c r="R17" s="12"/>
    </row>
    <row r="18" spans="1:18" ht="21" x14ac:dyDescent="0.25">
      <c r="A18" s="27"/>
      <c r="B18" s="24" t="s">
        <v>33</v>
      </c>
      <c r="C18" s="6" t="s">
        <v>26</v>
      </c>
      <c r="D18" s="25" t="s">
        <v>41</v>
      </c>
      <c r="E18" s="23" t="s">
        <v>41</v>
      </c>
      <c r="F18" s="13" t="s">
        <v>41</v>
      </c>
      <c r="G18" s="8" t="s">
        <v>42</v>
      </c>
      <c r="H18" s="9" t="s">
        <v>41</v>
      </c>
      <c r="I18" s="8" t="s">
        <v>42</v>
      </c>
      <c r="J18" s="26">
        <v>11672608</v>
      </c>
      <c r="K18" s="10">
        <v>55</v>
      </c>
      <c r="L18" s="8" t="s">
        <v>42</v>
      </c>
      <c r="M18" s="8" t="s">
        <v>42</v>
      </c>
      <c r="N18" s="10" t="s">
        <v>27</v>
      </c>
      <c r="O18" s="23">
        <v>594</v>
      </c>
      <c r="P18" s="8" t="s">
        <v>27</v>
      </c>
      <c r="Q18" s="8" t="s">
        <v>42</v>
      </c>
      <c r="R18" s="12"/>
    </row>
    <row r="19" spans="1:18" ht="21" x14ac:dyDescent="0.25">
      <c r="A19" s="27"/>
      <c r="B19" s="24"/>
      <c r="C19" s="6" t="s">
        <v>28</v>
      </c>
      <c r="D19" s="25"/>
      <c r="E19" s="23"/>
      <c r="F19" s="13" t="s">
        <v>41</v>
      </c>
      <c r="G19" s="8" t="s">
        <v>42</v>
      </c>
      <c r="H19" s="9" t="s">
        <v>41</v>
      </c>
      <c r="I19" s="8" t="s">
        <v>42</v>
      </c>
      <c r="J19" s="26"/>
      <c r="K19" s="10"/>
      <c r="L19" s="8" t="s">
        <v>42</v>
      </c>
      <c r="M19" s="8" t="s">
        <v>42</v>
      </c>
      <c r="N19" s="10" t="s">
        <v>27</v>
      </c>
      <c r="O19" s="23"/>
      <c r="P19" s="8" t="s">
        <v>27</v>
      </c>
      <c r="Q19" s="8" t="s">
        <v>42</v>
      </c>
      <c r="R19" s="12"/>
    </row>
    <row r="20" spans="1:18" ht="21" x14ac:dyDescent="0.25">
      <c r="A20" s="27"/>
      <c r="B20" s="24"/>
      <c r="C20" s="6" t="s">
        <v>29</v>
      </c>
      <c r="D20" s="25"/>
      <c r="E20" s="23"/>
      <c r="F20" s="13" t="s">
        <v>41</v>
      </c>
      <c r="G20" s="8" t="s">
        <v>41</v>
      </c>
      <c r="H20" s="9" t="s">
        <v>41</v>
      </c>
      <c r="I20" s="8" t="s">
        <v>41</v>
      </c>
      <c r="J20" s="13" t="s">
        <v>27</v>
      </c>
      <c r="K20" s="10" t="s">
        <v>27</v>
      </c>
      <c r="L20" s="8" t="s">
        <v>41</v>
      </c>
      <c r="M20" s="8" t="s">
        <v>41</v>
      </c>
      <c r="N20" s="10">
        <v>79</v>
      </c>
      <c r="O20" s="23"/>
      <c r="P20" s="14">
        <f>N20/O18</f>
        <v>0.132996632996633</v>
      </c>
      <c r="Q20" s="8" t="s">
        <v>41</v>
      </c>
      <c r="R20" s="12"/>
    </row>
    <row r="21" spans="1:18" ht="21" x14ac:dyDescent="0.25">
      <c r="A21" s="27"/>
      <c r="B21" s="24"/>
      <c r="C21" s="15" t="s">
        <v>30</v>
      </c>
      <c r="D21" s="16" t="s">
        <v>27</v>
      </c>
      <c r="E21" s="16" t="s">
        <v>27</v>
      </c>
      <c r="F21" s="16" t="s">
        <v>41</v>
      </c>
      <c r="G21" s="18" t="s">
        <v>41</v>
      </c>
      <c r="H21" s="19" t="s">
        <v>41</v>
      </c>
      <c r="I21" s="18" t="s">
        <v>41</v>
      </c>
      <c r="J21" s="17">
        <f t="shared" ref="J21:K21" si="3">SUM(J18:J20)</f>
        <v>11672608</v>
      </c>
      <c r="K21" s="20">
        <f t="shared" si="3"/>
        <v>55</v>
      </c>
      <c r="L21" s="18" t="s">
        <v>41</v>
      </c>
      <c r="M21" s="18" t="s">
        <v>41</v>
      </c>
      <c r="N21" s="16" t="s">
        <v>27</v>
      </c>
      <c r="O21" s="16" t="s">
        <v>27</v>
      </c>
      <c r="P21" s="16" t="s">
        <v>27</v>
      </c>
      <c r="Q21" s="18" t="s">
        <v>41</v>
      </c>
      <c r="R21" s="12"/>
    </row>
    <row r="22" spans="1:18" ht="21" x14ac:dyDescent="0.25">
      <c r="A22" s="27"/>
      <c r="B22" s="24" t="s">
        <v>34</v>
      </c>
      <c r="C22" s="6" t="s">
        <v>26</v>
      </c>
      <c r="D22" s="25" t="s">
        <v>41</v>
      </c>
      <c r="E22" s="23" t="s">
        <v>41</v>
      </c>
      <c r="F22" s="13" t="s">
        <v>41</v>
      </c>
      <c r="G22" s="8" t="s">
        <v>42</v>
      </c>
      <c r="H22" s="9" t="s">
        <v>41</v>
      </c>
      <c r="I22" s="8" t="s">
        <v>42</v>
      </c>
      <c r="J22" s="7">
        <v>3786608</v>
      </c>
      <c r="K22" s="10">
        <v>23</v>
      </c>
      <c r="L22" s="8" t="s">
        <v>42</v>
      </c>
      <c r="M22" s="8" t="s">
        <v>42</v>
      </c>
      <c r="N22" s="10" t="s">
        <v>27</v>
      </c>
      <c r="O22" s="23">
        <v>627</v>
      </c>
      <c r="P22" s="8" t="s">
        <v>27</v>
      </c>
      <c r="Q22" s="8" t="s">
        <v>42</v>
      </c>
      <c r="R22" s="12"/>
    </row>
    <row r="23" spans="1:18" ht="21" x14ac:dyDescent="0.25">
      <c r="A23" s="27"/>
      <c r="B23" s="24"/>
      <c r="C23" s="6" t="s">
        <v>28</v>
      </c>
      <c r="D23" s="25"/>
      <c r="E23" s="23"/>
      <c r="F23" s="13" t="s">
        <v>41</v>
      </c>
      <c r="G23" s="8" t="s">
        <v>42</v>
      </c>
      <c r="H23" s="9" t="s">
        <v>41</v>
      </c>
      <c r="I23" s="8" t="s">
        <v>42</v>
      </c>
      <c r="J23" s="7">
        <v>11890760</v>
      </c>
      <c r="K23" s="10">
        <v>47</v>
      </c>
      <c r="L23" s="8" t="s">
        <v>42</v>
      </c>
      <c r="M23" s="8" t="s">
        <v>42</v>
      </c>
      <c r="N23" s="10" t="s">
        <v>27</v>
      </c>
      <c r="O23" s="23"/>
      <c r="P23" s="8" t="s">
        <v>27</v>
      </c>
      <c r="Q23" s="8" t="s">
        <v>42</v>
      </c>
      <c r="R23" s="12"/>
    </row>
    <row r="24" spans="1:18" ht="21" x14ac:dyDescent="0.25">
      <c r="A24" s="27"/>
      <c r="B24" s="24"/>
      <c r="C24" s="6" t="s">
        <v>29</v>
      </c>
      <c r="D24" s="25"/>
      <c r="E24" s="23"/>
      <c r="F24" s="13" t="s">
        <v>41</v>
      </c>
      <c r="G24" s="8" t="s">
        <v>41</v>
      </c>
      <c r="H24" s="9" t="s">
        <v>41</v>
      </c>
      <c r="I24" s="8" t="s">
        <v>41</v>
      </c>
      <c r="J24" s="13" t="s">
        <v>27</v>
      </c>
      <c r="K24" s="10" t="s">
        <v>27</v>
      </c>
      <c r="L24" s="8" t="s">
        <v>41</v>
      </c>
      <c r="M24" s="8" t="s">
        <v>41</v>
      </c>
      <c r="N24" s="10">
        <v>71</v>
      </c>
      <c r="O24" s="23"/>
      <c r="P24" s="14">
        <f>N24/O22</f>
        <v>0.11323763955342903</v>
      </c>
      <c r="Q24" s="8" t="s">
        <v>41</v>
      </c>
      <c r="R24" s="12"/>
    </row>
    <row r="25" spans="1:18" ht="21" x14ac:dyDescent="0.25">
      <c r="A25" s="27"/>
      <c r="B25" s="24"/>
      <c r="C25" s="15" t="s">
        <v>30</v>
      </c>
      <c r="D25" s="16" t="s">
        <v>27</v>
      </c>
      <c r="E25" s="16" t="s">
        <v>27</v>
      </c>
      <c r="F25" s="16" t="s">
        <v>41</v>
      </c>
      <c r="G25" s="18" t="s">
        <v>41</v>
      </c>
      <c r="H25" s="19" t="s">
        <v>41</v>
      </c>
      <c r="I25" s="18" t="s">
        <v>41</v>
      </c>
      <c r="J25" s="17">
        <f t="shared" ref="J25:K25" si="4">SUM(J22:J24)</f>
        <v>15677368</v>
      </c>
      <c r="K25" s="20">
        <f t="shared" si="4"/>
        <v>70</v>
      </c>
      <c r="L25" s="18" t="s">
        <v>41</v>
      </c>
      <c r="M25" s="18" t="s">
        <v>41</v>
      </c>
      <c r="N25" s="16" t="s">
        <v>27</v>
      </c>
      <c r="O25" s="16" t="s">
        <v>27</v>
      </c>
      <c r="P25" s="16" t="s">
        <v>27</v>
      </c>
      <c r="Q25" s="18" t="s">
        <v>41</v>
      </c>
      <c r="R25" s="12"/>
    </row>
    <row r="26" spans="1:18" ht="21" x14ac:dyDescent="0.25">
      <c r="A26" s="27"/>
      <c r="B26" s="24" t="s">
        <v>35</v>
      </c>
      <c r="C26" s="6" t="s">
        <v>26</v>
      </c>
      <c r="D26" s="25" t="s">
        <v>41</v>
      </c>
      <c r="E26" s="23" t="s">
        <v>41</v>
      </c>
      <c r="F26" s="13" t="s">
        <v>41</v>
      </c>
      <c r="G26" s="8" t="s">
        <v>42</v>
      </c>
      <c r="H26" s="9" t="s">
        <v>41</v>
      </c>
      <c r="I26" s="8" t="s">
        <v>42</v>
      </c>
      <c r="J26" s="7">
        <f t="shared" ref="J26:K26" si="5">J6+J10+J14+J18+J22</f>
        <v>43555520</v>
      </c>
      <c r="K26" s="10">
        <f t="shared" si="5"/>
        <v>237</v>
      </c>
      <c r="L26" s="8" t="s">
        <v>42</v>
      </c>
      <c r="M26" s="8" t="s">
        <v>42</v>
      </c>
      <c r="N26" s="10" t="s">
        <v>27</v>
      </c>
      <c r="O26" s="23">
        <f>O6+O10+O14+O18+O22</f>
        <v>3211</v>
      </c>
      <c r="P26" s="8" t="s">
        <v>27</v>
      </c>
      <c r="Q26" s="8" t="s">
        <v>42</v>
      </c>
      <c r="R26" s="12"/>
    </row>
    <row r="27" spans="1:18" ht="21" x14ac:dyDescent="0.25">
      <c r="A27" s="27"/>
      <c r="B27" s="24"/>
      <c r="C27" s="6" t="s">
        <v>28</v>
      </c>
      <c r="D27" s="25"/>
      <c r="E27" s="23"/>
      <c r="F27" s="13" t="s">
        <v>41</v>
      </c>
      <c r="G27" s="8" t="s">
        <v>42</v>
      </c>
      <c r="H27" s="9" t="s">
        <v>41</v>
      </c>
      <c r="I27" s="8" t="s">
        <v>42</v>
      </c>
      <c r="J27" s="7">
        <f>J7+J11+J15+J19+J23</f>
        <v>33153240</v>
      </c>
      <c r="K27" s="10">
        <f>K7+K11+K15+K19+K23</f>
        <v>183</v>
      </c>
      <c r="L27" s="8" t="s">
        <v>42</v>
      </c>
      <c r="M27" s="8" t="s">
        <v>42</v>
      </c>
      <c r="N27" s="10" t="s">
        <v>27</v>
      </c>
      <c r="O27" s="23"/>
      <c r="P27" s="8" t="s">
        <v>27</v>
      </c>
      <c r="Q27" s="8" t="s">
        <v>42</v>
      </c>
      <c r="R27" s="12"/>
    </row>
    <row r="28" spans="1:18" ht="21" x14ac:dyDescent="0.25">
      <c r="A28" s="27"/>
      <c r="B28" s="24"/>
      <c r="C28" s="6" t="s">
        <v>29</v>
      </c>
      <c r="D28" s="25"/>
      <c r="E28" s="23"/>
      <c r="F28" s="13" t="s">
        <v>41</v>
      </c>
      <c r="G28" s="8" t="s">
        <v>41</v>
      </c>
      <c r="H28" s="9" t="s">
        <v>41</v>
      </c>
      <c r="I28" s="8" t="s">
        <v>41</v>
      </c>
      <c r="J28" s="13" t="s">
        <v>27</v>
      </c>
      <c r="K28" s="10" t="s">
        <v>27</v>
      </c>
      <c r="L28" s="8" t="s">
        <v>41</v>
      </c>
      <c r="M28" s="8" t="s">
        <v>41</v>
      </c>
      <c r="N28" s="10">
        <f>N8+N12+N16+N20+N24</f>
        <v>368</v>
      </c>
      <c r="O28" s="23"/>
      <c r="P28" s="14">
        <f>N28/O26</f>
        <v>0.1146060417315478</v>
      </c>
      <c r="Q28" s="8" t="s">
        <v>41</v>
      </c>
      <c r="R28" s="12"/>
    </row>
    <row r="29" spans="1:18" ht="21" x14ac:dyDescent="0.25">
      <c r="A29" s="27"/>
      <c r="B29" s="24"/>
      <c r="C29" s="15" t="s">
        <v>30</v>
      </c>
      <c r="D29" s="16" t="s">
        <v>27</v>
      </c>
      <c r="E29" s="16" t="s">
        <v>27</v>
      </c>
      <c r="F29" s="16" t="s">
        <v>41</v>
      </c>
      <c r="G29" s="18" t="s">
        <v>41</v>
      </c>
      <c r="H29" s="19" t="s">
        <v>41</v>
      </c>
      <c r="I29" s="18" t="s">
        <v>41</v>
      </c>
      <c r="J29" s="17">
        <f t="shared" ref="J29:K29" si="6">SUM(J26:J28)</f>
        <v>76708760</v>
      </c>
      <c r="K29" s="20">
        <f t="shared" si="6"/>
        <v>420</v>
      </c>
      <c r="L29" s="18" t="s">
        <v>41</v>
      </c>
      <c r="M29" s="18" t="s">
        <v>41</v>
      </c>
      <c r="N29" s="16" t="s">
        <v>27</v>
      </c>
      <c r="O29" s="16" t="s">
        <v>27</v>
      </c>
      <c r="P29" s="16" t="s">
        <v>27</v>
      </c>
      <c r="Q29" s="18" t="s">
        <v>41</v>
      </c>
      <c r="R29" s="12"/>
    </row>
    <row r="30" spans="1:18" x14ac:dyDescent="0.25">
      <c r="A30" s="2" t="s">
        <v>36</v>
      </c>
      <c r="J30" s="21"/>
      <c r="K30" s="21"/>
    </row>
    <row r="31" spans="1:18" x14ac:dyDescent="0.25">
      <c r="A31" s="2" t="s">
        <v>37</v>
      </c>
      <c r="J31" s="21"/>
      <c r="K31" s="21"/>
    </row>
    <row r="32" spans="1:18" x14ac:dyDescent="0.25">
      <c r="A32" s="2" t="s">
        <v>38</v>
      </c>
      <c r="J32" s="21"/>
      <c r="K32" s="21"/>
    </row>
    <row r="33" spans="1:18" x14ac:dyDescent="0.25">
      <c r="A33" s="2" t="s">
        <v>39</v>
      </c>
      <c r="J33" s="21"/>
      <c r="K33" s="21"/>
    </row>
    <row r="34" spans="1:18" x14ac:dyDescent="0.25">
      <c r="A34" s="2" t="s">
        <v>40</v>
      </c>
      <c r="B34" s="2"/>
      <c r="C34" s="2"/>
      <c r="D34" s="2"/>
      <c r="E34" s="2"/>
      <c r="F34" s="2"/>
      <c r="G34" s="2"/>
      <c r="H34" s="2"/>
      <c r="I34" s="2"/>
      <c r="J34" s="22"/>
      <c r="K34" s="22"/>
      <c r="L34" s="2"/>
      <c r="M34" s="2"/>
      <c r="N34" s="2"/>
      <c r="O34" s="2"/>
      <c r="P34" s="2"/>
      <c r="Q34" s="2"/>
      <c r="R34" s="2"/>
    </row>
  </sheetData>
  <mergeCells count="37">
    <mergeCell ref="A1:R1"/>
    <mergeCell ref="R3:R5"/>
    <mergeCell ref="J4:K4"/>
    <mergeCell ref="L4:M4"/>
    <mergeCell ref="N4:P4"/>
    <mergeCell ref="A3:A5"/>
    <mergeCell ref="B3:B5"/>
    <mergeCell ref="C3:C5"/>
    <mergeCell ref="D3:I4"/>
    <mergeCell ref="J3:M3"/>
    <mergeCell ref="N3:Q3"/>
    <mergeCell ref="A6:A29"/>
    <mergeCell ref="B6:B9"/>
    <mergeCell ref="D6:D8"/>
    <mergeCell ref="E6:E8"/>
    <mergeCell ref="O6:O8"/>
    <mergeCell ref="B10:B13"/>
    <mergeCell ref="D10:D12"/>
    <mergeCell ref="E10:E12"/>
    <mergeCell ref="O10:O12"/>
    <mergeCell ref="B14:B17"/>
    <mergeCell ref="D14:D16"/>
    <mergeCell ref="E14:E16"/>
    <mergeCell ref="O14:O16"/>
    <mergeCell ref="B26:B29"/>
    <mergeCell ref="D26:D28"/>
    <mergeCell ref="E26:E28"/>
    <mergeCell ref="O26:O28"/>
    <mergeCell ref="B18:B21"/>
    <mergeCell ref="D18:D20"/>
    <mergeCell ref="E18:E20"/>
    <mergeCell ref="J18:J19"/>
    <mergeCell ref="O18:O20"/>
    <mergeCell ref="B22:B25"/>
    <mergeCell ref="D22:D24"/>
    <mergeCell ref="E22:E24"/>
    <mergeCell ref="O22:O24"/>
  </mergeCells>
  <phoneticPr fontId="1" type="noConversion"/>
  <pageMargins left="0.7" right="0.7" top="0.75" bottom="0.75" header="0.3" footer="0.3"/>
  <pageSetup paperSize="9" scale="4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user4</dc:creator>
  <cp:lastModifiedBy>user4</cp:lastModifiedBy>
  <cp:lastPrinted>2025-04-09T06:12:56Z</cp:lastPrinted>
  <dcterms:created xsi:type="dcterms:W3CDTF">2025-04-09T01:32:28Z</dcterms:created>
  <dcterms:modified xsi:type="dcterms:W3CDTF">2025-04-09T06:34:15Z</dcterms:modified>
</cp:coreProperties>
</file>