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0785"/>
  </bookViews>
  <sheets>
    <sheet name="工作表1" sheetId="1" r:id="rId1"/>
    <sheet name="工作表2" sheetId="2" r:id="rId2"/>
    <sheet name="工作表3" sheetId="3" r:id="rId3"/>
  </sheets>
  <calcPr calcId="145621"/>
</workbook>
</file>

<file path=xl/calcChain.xml><?xml version="1.0" encoding="utf-8"?>
<calcChain xmlns="http://schemas.openxmlformats.org/spreadsheetml/2006/main">
  <c r="K28" i="1" l="1"/>
  <c r="J28" i="1"/>
  <c r="K27" i="1"/>
  <c r="J27" i="1"/>
  <c r="K26" i="1"/>
  <c r="J26" i="1"/>
  <c r="J29" i="1" s="1"/>
  <c r="K25" i="1"/>
  <c r="J25" i="1"/>
  <c r="K21" i="1"/>
  <c r="J21" i="1"/>
  <c r="K17" i="1"/>
  <c r="J17" i="1"/>
  <c r="K13" i="1"/>
  <c r="J13" i="1"/>
  <c r="K9" i="1"/>
  <c r="J9" i="1"/>
  <c r="K29" i="1" l="1"/>
</calcChain>
</file>

<file path=xl/sharedStrings.xml><?xml version="1.0" encoding="utf-8"?>
<sst xmlns="http://schemas.openxmlformats.org/spreadsheetml/2006/main" count="222" uniqueCount="37">
  <si>
    <t>計畫別</t>
    <phoneticPr fontId="1" type="noConversion"/>
  </si>
  <si>
    <t>分署</t>
    <phoneticPr fontId="1" type="noConversion"/>
  </si>
  <si>
    <t>管制課程
類別</t>
    <phoneticPr fontId="1" type="noConversion"/>
  </si>
  <si>
    <t>以104年為基期核定情形</t>
    <phoneticPr fontId="1" type="noConversion"/>
  </si>
  <si>
    <t>超過核定比例原因</t>
    <phoneticPr fontId="1" type="noConversion"/>
  </si>
  <si>
    <t>104年度管制類課程</t>
    <phoneticPr fontId="1" type="noConversion"/>
  </si>
  <si>
    <t>113上半年管制類課程</t>
    <phoneticPr fontId="1" type="noConversion"/>
  </si>
  <si>
    <t>核定
總補助費
(A)</t>
    <phoneticPr fontId="1" type="noConversion"/>
  </si>
  <si>
    <t>核定
總班次(C)</t>
    <phoneticPr fontId="1" type="noConversion"/>
  </si>
  <si>
    <t>核配總補助費之規模比率(B/A)</t>
    <phoneticPr fontId="1" type="noConversion"/>
  </si>
  <si>
    <t>核配班次之規模比率
(D/C)</t>
    <phoneticPr fontId="1" type="noConversion"/>
  </si>
  <si>
    <t>北分署</t>
    <phoneticPr fontId="1" type="noConversion"/>
  </si>
  <si>
    <t>-</t>
    <phoneticPr fontId="1" type="noConversion"/>
  </si>
  <si>
    <t>桃分署</t>
    <phoneticPr fontId="1" type="noConversion"/>
  </si>
  <si>
    <t>中分署</t>
    <phoneticPr fontId="1" type="noConversion"/>
  </si>
  <si>
    <t>南分署</t>
    <phoneticPr fontId="1" type="noConversion"/>
  </si>
  <si>
    <t>高分署</t>
    <phoneticPr fontId="1" type="noConversion"/>
  </si>
  <si>
    <t>五分署</t>
    <phoneticPr fontId="1" type="noConversion"/>
  </si>
  <si>
    <t>-</t>
    <phoneticPr fontId="1" type="noConversion"/>
  </si>
  <si>
    <t>-</t>
    <phoneticPr fontId="1" type="noConversion"/>
  </si>
  <si>
    <t xml:space="preserve">自主
</t>
    <phoneticPr fontId="1" type="noConversion"/>
  </si>
  <si>
    <t>113年度上半年提升勞工自主學習計畫管制類課程比例五分署彙總表</t>
    <phoneticPr fontId="1" type="noConversion"/>
  </si>
  <si>
    <t>113上半年課程核定情形</t>
    <phoneticPr fontId="1" type="noConversion"/>
  </si>
  <si>
    <t>核定總補助費</t>
    <phoneticPr fontId="1" type="noConversion"/>
  </si>
  <si>
    <t>核定
總班次</t>
    <phoneticPr fontId="1" type="noConversion"/>
  </si>
  <si>
    <t>管制類課程
核定總補助費
(B)</t>
    <phoneticPr fontId="1" type="noConversion"/>
  </si>
  <si>
    <t>管制類課程補助費占比</t>
    <phoneticPr fontId="1" type="noConversion"/>
  </si>
  <si>
    <t>管制類課程
核定班次
(D)</t>
    <phoneticPr fontId="1" type="noConversion"/>
  </si>
  <si>
    <t>管制類核定班次占比</t>
    <phoneticPr fontId="1" type="noConversion"/>
  </si>
  <si>
    <t>※ 手工藝製作課程：業別代碼─02-04、07-01、07-03</t>
    <phoneticPr fontId="1" type="noConversion"/>
  </si>
  <si>
    <t>※ 美容美髮彩粧課程：業別代碼─03-02、03-03、03-04、03-05</t>
    <phoneticPr fontId="1" type="noConversion"/>
  </si>
  <si>
    <t>※ 餐飲及食品加工類：業別代碼─21-01、21-02、21-03、30-01、30-02</t>
    <phoneticPr fontId="1" type="noConversion"/>
  </si>
  <si>
    <t>※自主計畫：美容美髮、手工藝、餐飲食品類課程，各分署核定比率各不得超過20%，且合計不得超過45%。美容美髮、手工藝類課程均不得超過104年度核定規模。</t>
    <phoneticPr fontId="1" type="noConversion"/>
  </si>
  <si>
    <t>手工藝類(20%)</t>
    <phoneticPr fontId="1" type="noConversion"/>
  </si>
  <si>
    <t>美容美髮類(20%)</t>
    <phoneticPr fontId="1" type="noConversion"/>
  </si>
  <si>
    <t>餐飲類(20%)</t>
    <phoneticPr fontId="1" type="noConversion"/>
  </si>
  <si>
    <t>加總(45%)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</si>
</sst>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4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6" fontId="5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6" fontId="8" fillId="0" borderId="1" xfId="0" applyNumberFormat="1" applyFont="1" applyBorder="1">
      <alignment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9" fillId="0" borderId="1" xfId="0" applyFont="1" applyBorder="1">
      <alignment vertical="center"/>
    </xf>
    <xf numFmtId="6" fontId="8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6" fontId="8" fillId="3" borderId="1" xfId="0" applyNumberFormat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6" fontId="0" fillId="0" borderId="0" xfId="0" applyNumberForma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6" fontId="7" fillId="0" borderId="1" xfId="0" applyNumberFormat="1" applyFont="1" applyBorder="1">
      <alignment vertical="center"/>
    </xf>
    <xf numFmtId="3" fontId="7" fillId="0" borderId="1" xfId="0" applyNumberFormat="1" applyFont="1" applyBorder="1" applyAlignment="1">
      <alignment horizontal="center" vertical="center"/>
    </xf>
    <xf numFmtId="6" fontId="8" fillId="2" borderId="1" xfId="0" applyNumberFormat="1" applyFont="1" applyFill="1" applyBorder="1">
      <alignment vertical="center"/>
    </xf>
    <xf numFmtId="3" fontId="8" fillId="2" borderId="1" xfId="0" applyNumberFormat="1" applyFont="1" applyFill="1" applyBorder="1" applyAlignment="1">
      <alignment horizontal="center" vertical="center"/>
    </xf>
    <xf numFmtId="6" fontId="7" fillId="2" borderId="1" xfId="0" applyNumberFormat="1" applyFont="1" applyFill="1" applyBorder="1">
      <alignment vertical="center"/>
    </xf>
    <xf numFmtId="3" fontId="7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6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6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view="pageBreakPreview" zoomScale="60" zoomScaleNormal="70" workbookViewId="0">
      <selection activeCell="C26" sqref="C26:C29"/>
    </sheetView>
  </sheetViews>
  <sheetFormatPr defaultRowHeight="16.5" x14ac:dyDescent="0.25"/>
  <cols>
    <col min="1" max="1" width="5.625" customWidth="1"/>
    <col min="2" max="2" width="11.625" customWidth="1"/>
    <col min="3" max="3" width="24.625" customWidth="1"/>
    <col min="4" max="4" width="22.625" customWidth="1"/>
    <col min="5" max="5" width="13.625" customWidth="1"/>
    <col min="6" max="6" width="22.625" customWidth="1"/>
    <col min="7" max="9" width="16.625" customWidth="1"/>
    <col min="10" max="10" width="20.625" customWidth="1"/>
    <col min="11" max="11" width="13.625" customWidth="1"/>
    <col min="12" max="13" width="20.625" customWidth="1"/>
    <col min="14" max="14" width="23.625" customWidth="1"/>
  </cols>
  <sheetData>
    <row r="1" spans="1:14" ht="25.5" x14ac:dyDescent="0.25">
      <c r="A1" s="30" t="s">
        <v>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26.2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33" customHeight="1" x14ac:dyDescent="0.25">
      <c r="A3" s="35" t="s">
        <v>0</v>
      </c>
      <c r="B3" s="35" t="s">
        <v>1</v>
      </c>
      <c r="C3" s="35" t="s">
        <v>2</v>
      </c>
      <c r="D3" s="36" t="s">
        <v>22</v>
      </c>
      <c r="E3" s="36"/>
      <c r="F3" s="36"/>
      <c r="G3" s="36"/>
      <c r="H3" s="36"/>
      <c r="I3" s="36"/>
      <c r="J3" s="34" t="s">
        <v>3</v>
      </c>
      <c r="K3" s="34"/>
      <c r="L3" s="34"/>
      <c r="M3" s="34"/>
      <c r="N3" s="31" t="s">
        <v>4</v>
      </c>
    </row>
    <row r="4" spans="1:14" ht="77.099999999999994" customHeight="1" x14ac:dyDescent="0.25">
      <c r="A4" s="35"/>
      <c r="B4" s="35"/>
      <c r="C4" s="35"/>
      <c r="D4" s="36" t="s">
        <v>23</v>
      </c>
      <c r="E4" s="25" t="s">
        <v>24</v>
      </c>
      <c r="F4" s="25" t="s">
        <v>25</v>
      </c>
      <c r="G4" s="25" t="s">
        <v>26</v>
      </c>
      <c r="H4" s="25" t="s">
        <v>27</v>
      </c>
      <c r="I4" s="25" t="s">
        <v>28</v>
      </c>
      <c r="J4" s="34" t="s">
        <v>5</v>
      </c>
      <c r="K4" s="34"/>
      <c r="L4" s="25" t="s">
        <v>6</v>
      </c>
      <c r="M4" s="25"/>
      <c r="N4" s="32"/>
    </row>
    <row r="5" spans="1:14" ht="69.95" customHeight="1" thickBot="1" x14ac:dyDescent="0.3">
      <c r="A5" s="35"/>
      <c r="B5" s="35"/>
      <c r="C5" s="35"/>
      <c r="D5" s="36"/>
      <c r="E5" s="25"/>
      <c r="F5" s="25"/>
      <c r="G5" s="25"/>
      <c r="H5" s="25"/>
      <c r="I5" s="25"/>
      <c r="J5" s="4" t="s">
        <v>7</v>
      </c>
      <c r="K5" s="4" t="s">
        <v>8</v>
      </c>
      <c r="L5" s="3" t="s">
        <v>9</v>
      </c>
      <c r="M5" s="3" t="s">
        <v>10</v>
      </c>
      <c r="N5" s="33"/>
    </row>
    <row r="6" spans="1:14" ht="21" x14ac:dyDescent="0.25">
      <c r="A6" s="29" t="s">
        <v>20</v>
      </c>
      <c r="B6" s="26" t="s">
        <v>11</v>
      </c>
      <c r="C6" s="5" t="s">
        <v>33</v>
      </c>
      <c r="D6" s="27" t="s">
        <v>18</v>
      </c>
      <c r="E6" s="28" t="s">
        <v>18</v>
      </c>
      <c r="F6" s="11" t="s">
        <v>18</v>
      </c>
      <c r="G6" s="7" t="s">
        <v>19</v>
      </c>
      <c r="H6" s="8" t="s">
        <v>18</v>
      </c>
      <c r="I6" s="7" t="s">
        <v>19</v>
      </c>
      <c r="J6" s="19">
        <v>30772656</v>
      </c>
      <c r="K6" s="20">
        <v>149</v>
      </c>
      <c r="L6" s="7" t="s">
        <v>19</v>
      </c>
      <c r="M6" s="7" t="s">
        <v>19</v>
      </c>
      <c r="N6" s="9"/>
    </row>
    <row r="7" spans="1:14" ht="21" x14ac:dyDescent="0.25">
      <c r="A7" s="29"/>
      <c r="B7" s="26"/>
      <c r="C7" s="5" t="s">
        <v>34</v>
      </c>
      <c r="D7" s="27"/>
      <c r="E7" s="28"/>
      <c r="F7" s="11" t="s">
        <v>18</v>
      </c>
      <c r="G7" s="7" t="s">
        <v>19</v>
      </c>
      <c r="H7" s="8" t="s">
        <v>18</v>
      </c>
      <c r="I7" s="7" t="s">
        <v>19</v>
      </c>
      <c r="J7" s="19">
        <v>8693776</v>
      </c>
      <c r="K7" s="20">
        <v>49</v>
      </c>
      <c r="L7" s="7" t="s">
        <v>19</v>
      </c>
      <c r="M7" s="7" t="s">
        <v>19</v>
      </c>
      <c r="N7" s="10"/>
    </row>
    <row r="8" spans="1:14" ht="21" x14ac:dyDescent="0.25">
      <c r="A8" s="29"/>
      <c r="B8" s="26"/>
      <c r="C8" s="5" t="s">
        <v>35</v>
      </c>
      <c r="D8" s="27"/>
      <c r="E8" s="28"/>
      <c r="F8" s="11" t="s">
        <v>18</v>
      </c>
      <c r="G8" s="7" t="s">
        <v>18</v>
      </c>
      <c r="H8" s="8" t="s">
        <v>18</v>
      </c>
      <c r="I8" s="7" t="s">
        <v>18</v>
      </c>
      <c r="J8" s="19">
        <v>13798992</v>
      </c>
      <c r="K8" s="17">
        <v>70</v>
      </c>
      <c r="L8" s="7" t="s">
        <v>18</v>
      </c>
      <c r="M8" s="7" t="s">
        <v>18</v>
      </c>
      <c r="N8" s="10"/>
    </row>
    <row r="9" spans="1:14" ht="21" x14ac:dyDescent="0.25">
      <c r="A9" s="29"/>
      <c r="B9" s="26"/>
      <c r="C9" s="12" t="s">
        <v>36</v>
      </c>
      <c r="D9" s="13" t="s">
        <v>12</v>
      </c>
      <c r="E9" s="13" t="s">
        <v>12</v>
      </c>
      <c r="F9" s="13" t="s">
        <v>18</v>
      </c>
      <c r="G9" s="14" t="s">
        <v>18</v>
      </c>
      <c r="H9" s="15" t="s">
        <v>18</v>
      </c>
      <c r="I9" s="14" t="s">
        <v>18</v>
      </c>
      <c r="J9" s="21">
        <f>SUM(J6:J8)</f>
        <v>53265424</v>
      </c>
      <c r="K9" s="22">
        <f>SUM(K6:K8)</f>
        <v>268</v>
      </c>
      <c r="L9" s="14" t="s">
        <v>18</v>
      </c>
      <c r="M9" s="14" t="s">
        <v>18</v>
      </c>
      <c r="N9" s="10"/>
    </row>
    <row r="10" spans="1:14" ht="21" x14ac:dyDescent="0.25">
      <c r="A10" s="29"/>
      <c r="B10" s="26" t="s">
        <v>13</v>
      </c>
      <c r="C10" s="18" t="s">
        <v>33</v>
      </c>
      <c r="D10" s="27" t="s">
        <v>18</v>
      </c>
      <c r="E10" s="28" t="s">
        <v>18</v>
      </c>
      <c r="F10" s="11" t="s">
        <v>18</v>
      </c>
      <c r="G10" s="7" t="s">
        <v>19</v>
      </c>
      <c r="H10" s="8" t="s">
        <v>18</v>
      </c>
      <c r="I10" s="7" t="s">
        <v>19</v>
      </c>
      <c r="J10" s="6">
        <v>10822768</v>
      </c>
      <c r="K10" s="17">
        <v>45</v>
      </c>
      <c r="L10" s="7" t="s">
        <v>19</v>
      </c>
      <c r="M10" s="7" t="s">
        <v>19</v>
      </c>
      <c r="N10" s="10"/>
    </row>
    <row r="11" spans="1:14" ht="21" x14ac:dyDescent="0.25">
      <c r="A11" s="29"/>
      <c r="B11" s="26"/>
      <c r="C11" s="18" t="s">
        <v>34</v>
      </c>
      <c r="D11" s="27"/>
      <c r="E11" s="28"/>
      <c r="F11" s="11" t="s">
        <v>18</v>
      </c>
      <c r="G11" s="7" t="s">
        <v>19</v>
      </c>
      <c r="H11" s="8" t="s">
        <v>18</v>
      </c>
      <c r="I11" s="7" t="s">
        <v>19</v>
      </c>
      <c r="J11" s="6">
        <v>6930200</v>
      </c>
      <c r="K11" s="17">
        <v>30</v>
      </c>
      <c r="L11" s="7" t="s">
        <v>19</v>
      </c>
      <c r="M11" s="7" t="s">
        <v>19</v>
      </c>
      <c r="N11" s="10"/>
    </row>
    <row r="12" spans="1:14" ht="21" x14ac:dyDescent="0.25">
      <c r="A12" s="29"/>
      <c r="B12" s="26"/>
      <c r="C12" s="18" t="s">
        <v>35</v>
      </c>
      <c r="D12" s="27"/>
      <c r="E12" s="28"/>
      <c r="F12" s="11" t="s">
        <v>18</v>
      </c>
      <c r="G12" s="7" t="s">
        <v>18</v>
      </c>
      <c r="H12" s="8" t="s">
        <v>18</v>
      </c>
      <c r="I12" s="7" t="s">
        <v>18</v>
      </c>
      <c r="J12" s="6">
        <v>5334680</v>
      </c>
      <c r="K12" s="17">
        <v>25</v>
      </c>
      <c r="L12" s="7" t="s">
        <v>18</v>
      </c>
      <c r="M12" s="7" t="s">
        <v>18</v>
      </c>
      <c r="N12" s="10"/>
    </row>
    <row r="13" spans="1:14" ht="21" x14ac:dyDescent="0.25">
      <c r="A13" s="29"/>
      <c r="B13" s="26"/>
      <c r="C13" s="12" t="s">
        <v>36</v>
      </c>
      <c r="D13" s="13" t="s">
        <v>12</v>
      </c>
      <c r="E13" s="13" t="s">
        <v>12</v>
      </c>
      <c r="F13" s="13" t="s">
        <v>18</v>
      </c>
      <c r="G13" s="14" t="s">
        <v>18</v>
      </c>
      <c r="H13" s="15" t="s">
        <v>18</v>
      </c>
      <c r="I13" s="14" t="s">
        <v>18</v>
      </c>
      <c r="J13" s="21">
        <f t="shared" ref="J13:K13" si="0">SUM(J10:J12)</f>
        <v>23087648</v>
      </c>
      <c r="K13" s="22">
        <f t="shared" si="0"/>
        <v>100</v>
      </c>
      <c r="L13" s="14" t="s">
        <v>18</v>
      </c>
      <c r="M13" s="14" t="s">
        <v>18</v>
      </c>
      <c r="N13" s="10"/>
    </row>
    <row r="14" spans="1:14" ht="21" x14ac:dyDescent="0.25">
      <c r="A14" s="29"/>
      <c r="B14" s="26" t="s">
        <v>14</v>
      </c>
      <c r="C14" s="18" t="s">
        <v>33</v>
      </c>
      <c r="D14" s="27" t="s">
        <v>18</v>
      </c>
      <c r="E14" s="28" t="s">
        <v>18</v>
      </c>
      <c r="F14" s="11" t="s">
        <v>18</v>
      </c>
      <c r="G14" s="7" t="s">
        <v>19</v>
      </c>
      <c r="H14" s="8" t="s">
        <v>18</v>
      </c>
      <c r="I14" s="7" t="s">
        <v>19</v>
      </c>
      <c r="J14" s="6">
        <v>17114376</v>
      </c>
      <c r="K14" s="17">
        <v>74</v>
      </c>
      <c r="L14" s="7" t="s">
        <v>19</v>
      </c>
      <c r="M14" s="7" t="s">
        <v>19</v>
      </c>
      <c r="N14" s="10"/>
    </row>
    <row r="15" spans="1:14" ht="21" x14ac:dyDescent="0.25">
      <c r="A15" s="29"/>
      <c r="B15" s="26"/>
      <c r="C15" s="18" t="s">
        <v>34</v>
      </c>
      <c r="D15" s="27"/>
      <c r="E15" s="28"/>
      <c r="F15" s="11" t="s">
        <v>18</v>
      </c>
      <c r="G15" s="7" t="s">
        <v>19</v>
      </c>
      <c r="H15" s="8" t="s">
        <v>18</v>
      </c>
      <c r="I15" s="7" t="s">
        <v>19</v>
      </c>
      <c r="J15" s="6">
        <v>12737568</v>
      </c>
      <c r="K15" s="17">
        <v>57</v>
      </c>
      <c r="L15" s="7" t="s">
        <v>19</v>
      </c>
      <c r="M15" s="7" t="s">
        <v>19</v>
      </c>
      <c r="N15" s="10"/>
    </row>
    <row r="16" spans="1:14" ht="21" x14ac:dyDescent="0.25">
      <c r="A16" s="29"/>
      <c r="B16" s="26"/>
      <c r="C16" s="18" t="s">
        <v>35</v>
      </c>
      <c r="D16" s="27"/>
      <c r="E16" s="28"/>
      <c r="F16" s="11" t="s">
        <v>18</v>
      </c>
      <c r="G16" s="7" t="s">
        <v>18</v>
      </c>
      <c r="H16" s="8" t="s">
        <v>18</v>
      </c>
      <c r="I16" s="7" t="s">
        <v>18</v>
      </c>
      <c r="J16" s="6">
        <v>11036736</v>
      </c>
      <c r="K16" s="17">
        <v>50</v>
      </c>
      <c r="L16" s="7" t="s">
        <v>18</v>
      </c>
      <c r="M16" s="7" t="s">
        <v>18</v>
      </c>
      <c r="N16" s="10"/>
    </row>
    <row r="17" spans="1:14" ht="21" x14ac:dyDescent="0.25">
      <c r="A17" s="29"/>
      <c r="B17" s="26"/>
      <c r="C17" s="12" t="s">
        <v>36</v>
      </c>
      <c r="D17" s="13" t="s">
        <v>12</v>
      </c>
      <c r="E17" s="13" t="s">
        <v>12</v>
      </c>
      <c r="F17" s="13" t="s">
        <v>18</v>
      </c>
      <c r="G17" s="14" t="s">
        <v>18</v>
      </c>
      <c r="H17" s="15" t="s">
        <v>18</v>
      </c>
      <c r="I17" s="14" t="s">
        <v>18</v>
      </c>
      <c r="J17" s="21">
        <f t="shared" ref="J17:K17" si="1">SUM(J14:J16)</f>
        <v>40888680</v>
      </c>
      <c r="K17" s="22">
        <f t="shared" si="1"/>
        <v>181</v>
      </c>
      <c r="L17" s="14" t="s">
        <v>18</v>
      </c>
      <c r="M17" s="14" t="s">
        <v>18</v>
      </c>
      <c r="N17" s="10"/>
    </row>
    <row r="18" spans="1:14" ht="21" x14ac:dyDescent="0.25">
      <c r="A18" s="29"/>
      <c r="B18" s="26" t="s">
        <v>15</v>
      </c>
      <c r="C18" s="18" t="s">
        <v>33</v>
      </c>
      <c r="D18" s="27" t="s">
        <v>18</v>
      </c>
      <c r="E18" s="28" t="s">
        <v>18</v>
      </c>
      <c r="F18" s="11" t="s">
        <v>18</v>
      </c>
      <c r="G18" s="7" t="s">
        <v>19</v>
      </c>
      <c r="H18" s="8" t="s">
        <v>18</v>
      </c>
      <c r="I18" s="7" t="s">
        <v>19</v>
      </c>
      <c r="J18" s="6">
        <v>18673792</v>
      </c>
      <c r="K18" s="17">
        <v>76</v>
      </c>
      <c r="L18" s="7" t="s">
        <v>19</v>
      </c>
      <c r="M18" s="7" t="s">
        <v>19</v>
      </c>
      <c r="N18" s="10"/>
    </row>
    <row r="19" spans="1:14" ht="21" x14ac:dyDescent="0.25">
      <c r="A19" s="29"/>
      <c r="B19" s="26"/>
      <c r="C19" s="18" t="s">
        <v>34</v>
      </c>
      <c r="D19" s="27"/>
      <c r="E19" s="28"/>
      <c r="F19" s="11" t="s">
        <v>18</v>
      </c>
      <c r="G19" s="7" t="s">
        <v>19</v>
      </c>
      <c r="H19" s="8" t="s">
        <v>18</v>
      </c>
      <c r="I19" s="7" t="s">
        <v>19</v>
      </c>
      <c r="J19" s="6">
        <v>18686088</v>
      </c>
      <c r="K19" s="17">
        <v>72</v>
      </c>
      <c r="L19" s="7" t="s">
        <v>19</v>
      </c>
      <c r="M19" s="7" t="s">
        <v>19</v>
      </c>
      <c r="N19" s="10"/>
    </row>
    <row r="20" spans="1:14" ht="21" x14ac:dyDescent="0.25">
      <c r="A20" s="29"/>
      <c r="B20" s="26"/>
      <c r="C20" s="18" t="s">
        <v>35</v>
      </c>
      <c r="D20" s="27"/>
      <c r="E20" s="28"/>
      <c r="F20" s="11" t="s">
        <v>18</v>
      </c>
      <c r="G20" s="7" t="s">
        <v>18</v>
      </c>
      <c r="H20" s="8" t="s">
        <v>18</v>
      </c>
      <c r="I20" s="7" t="s">
        <v>18</v>
      </c>
      <c r="J20" s="6">
        <v>9244544</v>
      </c>
      <c r="K20" s="17">
        <v>38</v>
      </c>
      <c r="L20" s="7" t="s">
        <v>18</v>
      </c>
      <c r="M20" s="7" t="s">
        <v>18</v>
      </c>
      <c r="N20" s="10"/>
    </row>
    <row r="21" spans="1:14" ht="21" x14ac:dyDescent="0.25">
      <c r="A21" s="29"/>
      <c r="B21" s="26"/>
      <c r="C21" s="12" t="s">
        <v>36</v>
      </c>
      <c r="D21" s="13" t="s">
        <v>12</v>
      </c>
      <c r="E21" s="13" t="s">
        <v>12</v>
      </c>
      <c r="F21" s="13" t="s">
        <v>18</v>
      </c>
      <c r="G21" s="14" t="s">
        <v>18</v>
      </c>
      <c r="H21" s="15" t="s">
        <v>18</v>
      </c>
      <c r="I21" s="14" t="s">
        <v>18</v>
      </c>
      <c r="J21" s="21">
        <f t="shared" ref="J21:K21" si="2">SUM(J18:J20)</f>
        <v>46604424</v>
      </c>
      <c r="K21" s="22">
        <f t="shared" si="2"/>
        <v>186</v>
      </c>
      <c r="L21" s="14" t="s">
        <v>18</v>
      </c>
      <c r="M21" s="14" t="s">
        <v>18</v>
      </c>
      <c r="N21" s="10"/>
    </row>
    <row r="22" spans="1:14" ht="21" x14ac:dyDescent="0.25">
      <c r="A22" s="29"/>
      <c r="B22" s="26" t="s">
        <v>16</v>
      </c>
      <c r="C22" s="18" t="s">
        <v>33</v>
      </c>
      <c r="D22" s="27" t="s">
        <v>18</v>
      </c>
      <c r="E22" s="28" t="s">
        <v>18</v>
      </c>
      <c r="F22" s="11" t="s">
        <v>18</v>
      </c>
      <c r="G22" s="7" t="s">
        <v>19</v>
      </c>
      <c r="H22" s="8" t="s">
        <v>18</v>
      </c>
      <c r="I22" s="7" t="s">
        <v>19</v>
      </c>
      <c r="J22" s="6">
        <v>12496992</v>
      </c>
      <c r="K22" s="17">
        <v>66</v>
      </c>
      <c r="L22" s="7" t="s">
        <v>19</v>
      </c>
      <c r="M22" s="7" t="s">
        <v>19</v>
      </c>
      <c r="N22" s="10"/>
    </row>
    <row r="23" spans="1:14" ht="21" x14ac:dyDescent="0.25">
      <c r="A23" s="29"/>
      <c r="B23" s="26"/>
      <c r="C23" s="18" t="s">
        <v>34</v>
      </c>
      <c r="D23" s="27"/>
      <c r="E23" s="28"/>
      <c r="F23" s="11" t="s">
        <v>18</v>
      </c>
      <c r="G23" s="7" t="s">
        <v>19</v>
      </c>
      <c r="H23" s="8" t="s">
        <v>18</v>
      </c>
      <c r="I23" s="7" t="s">
        <v>19</v>
      </c>
      <c r="J23" s="6">
        <v>18389392</v>
      </c>
      <c r="K23" s="17">
        <v>74</v>
      </c>
      <c r="L23" s="7" t="s">
        <v>19</v>
      </c>
      <c r="M23" s="7" t="s">
        <v>19</v>
      </c>
      <c r="N23" s="10"/>
    </row>
    <row r="24" spans="1:14" ht="21" x14ac:dyDescent="0.25">
      <c r="A24" s="29"/>
      <c r="B24" s="26"/>
      <c r="C24" s="18" t="s">
        <v>35</v>
      </c>
      <c r="D24" s="27"/>
      <c r="E24" s="28"/>
      <c r="F24" s="11" t="s">
        <v>18</v>
      </c>
      <c r="G24" s="7" t="s">
        <v>18</v>
      </c>
      <c r="H24" s="8" t="s">
        <v>18</v>
      </c>
      <c r="I24" s="7" t="s">
        <v>18</v>
      </c>
      <c r="J24" s="6">
        <v>13540064</v>
      </c>
      <c r="K24" s="17">
        <v>49</v>
      </c>
      <c r="L24" s="7" t="s">
        <v>18</v>
      </c>
      <c r="M24" s="7" t="s">
        <v>18</v>
      </c>
      <c r="N24" s="10"/>
    </row>
    <row r="25" spans="1:14" ht="21" x14ac:dyDescent="0.25">
      <c r="A25" s="29"/>
      <c r="B25" s="26"/>
      <c r="C25" s="12" t="s">
        <v>36</v>
      </c>
      <c r="D25" s="13" t="s">
        <v>12</v>
      </c>
      <c r="E25" s="13" t="s">
        <v>12</v>
      </c>
      <c r="F25" s="13" t="s">
        <v>18</v>
      </c>
      <c r="G25" s="14" t="s">
        <v>18</v>
      </c>
      <c r="H25" s="15" t="s">
        <v>18</v>
      </c>
      <c r="I25" s="14" t="s">
        <v>18</v>
      </c>
      <c r="J25" s="23">
        <f>SUM(J22:J24)</f>
        <v>44426448</v>
      </c>
      <c r="K25" s="24">
        <f>SUM(K22:K24)</f>
        <v>189</v>
      </c>
      <c r="L25" s="14" t="s">
        <v>18</v>
      </c>
      <c r="M25" s="14" t="s">
        <v>18</v>
      </c>
      <c r="N25" s="10"/>
    </row>
    <row r="26" spans="1:14" ht="21" x14ac:dyDescent="0.25">
      <c r="A26" s="29"/>
      <c r="B26" s="26" t="s">
        <v>17</v>
      </c>
      <c r="C26" s="18" t="s">
        <v>33</v>
      </c>
      <c r="D26" s="27" t="s">
        <v>18</v>
      </c>
      <c r="E26" s="28" t="s">
        <v>18</v>
      </c>
      <c r="F26" s="11" t="s">
        <v>18</v>
      </c>
      <c r="G26" s="7" t="s">
        <v>19</v>
      </c>
      <c r="H26" s="8" t="s">
        <v>18</v>
      </c>
      <c r="I26" s="7" t="s">
        <v>19</v>
      </c>
      <c r="J26" s="6">
        <f>J6+J10+J14+J18+J22</f>
        <v>89880584</v>
      </c>
      <c r="K26" s="17">
        <f>K6+K10+K14+K22+K18</f>
        <v>410</v>
      </c>
      <c r="L26" s="7" t="s">
        <v>19</v>
      </c>
      <c r="M26" s="7" t="s">
        <v>19</v>
      </c>
      <c r="N26" s="10"/>
    </row>
    <row r="27" spans="1:14" ht="21" x14ac:dyDescent="0.25">
      <c r="A27" s="29"/>
      <c r="B27" s="26"/>
      <c r="C27" s="18" t="s">
        <v>34</v>
      </c>
      <c r="D27" s="27"/>
      <c r="E27" s="28"/>
      <c r="F27" s="11" t="s">
        <v>18</v>
      </c>
      <c r="G27" s="7" t="s">
        <v>19</v>
      </c>
      <c r="H27" s="8" t="s">
        <v>18</v>
      </c>
      <c r="I27" s="7" t="s">
        <v>19</v>
      </c>
      <c r="J27" s="6">
        <f>J7+J11+J19+J23+J15</f>
        <v>65437024</v>
      </c>
      <c r="K27" s="17">
        <f>K7+K11+K15+K19+K23</f>
        <v>282</v>
      </c>
      <c r="L27" s="7" t="s">
        <v>19</v>
      </c>
      <c r="M27" s="7" t="s">
        <v>19</v>
      </c>
      <c r="N27" s="10"/>
    </row>
    <row r="28" spans="1:14" ht="21" x14ac:dyDescent="0.25">
      <c r="A28" s="29"/>
      <c r="B28" s="26"/>
      <c r="C28" s="18" t="s">
        <v>35</v>
      </c>
      <c r="D28" s="27"/>
      <c r="E28" s="28"/>
      <c r="F28" s="11" t="s">
        <v>18</v>
      </c>
      <c r="G28" s="7" t="s">
        <v>18</v>
      </c>
      <c r="H28" s="8" t="s">
        <v>18</v>
      </c>
      <c r="I28" s="7" t="s">
        <v>18</v>
      </c>
      <c r="J28" s="6">
        <f>J8+J12+J20+J24+J16</f>
        <v>52955016</v>
      </c>
      <c r="K28" s="17">
        <f>K8+K12+K16+K20+K24</f>
        <v>232</v>
      </c>
      <c r="L28" s="7" t="s">
        <v>18</v>
      </c>
      <c r="M28" s="7" t="s">
        <v>18</v>
      </c>
      <c r="N28" s="10"/>
    </row>
    <row r="29" spans="1:14" ht="21" x14ac:dyDescent="0.25">
      <c r="A29" s="29"/>
      <c r="B29" s="26"/>
      <c r="C29" s="12" t="s">
        <v>36</v>
      </c>
      <c r="D29" s="13" t="s">
        <v>12</v>
      </c>
      <c r="E29" s="13" t="s">
        <v>12</v>
      </c>
      <c r="F29" s="13" t="s">
        <v>18</v>
      </c>
      <c r="G29" s="14" t="s">
        <v>18</v>
      </c>
      <c r="H29" s="15" t="s">
        <v>18</v>
      </c>
      <c r="I29" s="14" t="s">
        <v>18</v>
      </c>
      <c r="J29" s="23">
        <f>SUM(J26:J28)</f>
        <v>208272624</v>
      </c>
      <c r="K29" s="22">
        <f>SUM(K26:K28)</f>
        <v>924</v>
      </c>
      <c r="L29" s="14" t="s">
        <v>18</v>
      </c>
      <c r="M29" s="14" t="s">
        <v>18</v>
      </c>
      <c r="N29" s="10"/>
    </row>
    <row r="30" spans="1:14" x14ac:dyDescent="0.25">
      <c r="A30" s="2" t="s">
        <v>29</v>
      </c>
      <c r="J30" s="16"/>
      <c r="K30" s="16"/>
    </row>
    <row r="31" spans="1:14" x14ac:dyDescent="0.25">
      <c r="A31" s="2" t="s">
        <v>30</v>
      </c>
      <c r="J31" s="16"/>
      <c r="K31" s="16"/>
    </row>
    <row r="32" spans="1:14" x14ac:dyDescent="0.25">
      <c r="A32" s="2" t="s">
        <v>31</v>
      </c>
      <c r="J32" s="16"/>
      <c r="K32" s="16"/>
    </row>
    <row r="33" spans="1:11" x14ac:dyDescent="0.25">
      <c r="A33" s="2" t="s">
        <v>32</v>
      </c>
      <c r="J33" s="16"/>
      <c r="K33" s="16"/>
    </row>
  </sheetData>
  <mergeCells count="34">
    <mergeCell ref="A1:N1"/>
    <mergeCell ref="N3:N5"/>
    <mergeCell ref="J4:K4"/>
    <mergeCell ref="L4:M4"/>
    <mergeCell ref="A3:A5"/>
    <mergeCell ref="B3:B5"/>
    <mergeCell ref="C3:C5"/>
    <mergeCell ref="J3:M3"/>
    <mergeCell ref="D3:I3"/>
    <mergeCell ref="D4:D5"/>
    <mergeCell ref="E4:E5"/>
    <mergeCell ref="F4:F5"/>
    <mergeCell ref="G4:G5"/>
    <mergeCell ref="B22:B25"/>
    <mergeCell ref="D22:D24"/>
    <mergeCell ref="E22:E24"/>
    <mergeCell ref="A6:A29"/>
    <mergeCell ref="B6:B9"/>
    <mergeCell ref="D6:D8"/>
    <mergeCell ref="E6:E8"/>
    <mergeCell ref="B10:B13"/>
    <mergeCell ref="D10:D12"/>
    <mergeCell ref="E10:E12"/>
    <mergeCell ref="B14:B17"/>
    <mergeCell ref="D14:D16"/>
    <mergeCell ref="E14:E16"/>
    <mergeCell ref="B26:B29"/>
    <mergeCell ref="D26:D28"/>
    <mergeCell ref="E26:E28"/>
    <mergeCell ref="H4:H5"/>
    <mergeCell ref="I4:I5"/>
    <mergeCell ref="B18:B21"/>
    <mergeCell ref="D18:D20"/>
    <mergeCell ref="E18:E20"/>
  </mergeCells>
  <phoneticPr fontId="1" type="noConversion"/>
  <pageMargins left="0.7" right="0.7" top="0.75" bottom="0.75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user4</cp:lastModifiedBy>
  <cp:lastPrinted>2025-04-09T07:43:40Z</cp:lastPrinted>
  <dcterms:created xsi:type="dcterms:W3CDTF">2025-04-09T01:32:28Z</dcterms:created>
  <dcterms:modified xsi:type="dcterms:W3CDTF">2025-05-09T07:03:22Z</dcterms:modified>
</cp:coreProperties>
</file>