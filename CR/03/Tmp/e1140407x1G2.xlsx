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1895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S28" i="1" l="1"/>
  <c r="U28" i="1" s="1"/>
  <c r="P27" i="1"/>
  <c r="O27" i="1"/>
  <c r="T26" i="1"/>
  <c r="P26" i="1"/>
  <c r="P29" i="1" s="1"/>
  <c r="O26" i="1"/>
  <c r="O29" i="1" s="1"/>
  <c r="P25" i="1"/>
  <c r="O25" i="1"/>
  <c r="U24" i="1"/>
  <c r="P21" i="1"/>
  <c r="O21" i="1"/>
  <c r="U20" i="1"/>
  <c r="P17" i="1"/>
  <c r="O17" i="1"/>
  <c r="U16" i="1"/>
  <c r="P13" i="1"/>
  <c r="O13" i="1"/>
  <c r="U12" i="1"/>
  <c r="P9" i="1"/>
  <c r="O9" i="1"/>
  <c r="U8" i="1"/>
</calcChain>
</file>

<file path=xl/sharedStrings.xml><?xml version="1.0" encoding="utf-8"?>
<sst xmlns="http://schemas.openxmlformats.org/spreadsheetml/2006/main" count="439" uniqueCount="51">
  <si>
    <t>113年度下半年產業人才投資計畫管制課程比例五分署彙總表</t>
  </si>
  <si>
    <t>114.4.8</t>
  </si>
  <si>
    <t>計畫別</t>
  </si>
  <si>
    <t>分署</t>
  </si>
  <si>
    <t>管制課程
類別</t>
  </si>
  <si>
    <t>113下半年課程核定情形</t>
  </si>
  <si>
    <t>113上半年</t>
  </si>
  <si>
    <t>113全年度</t>
  </si>
  <si>
    <t>以104年為基期核定情形</t>
  </si>
  <si>
    <t>以106年為基期核定情形</t>
  </si>
  <si>
    <t>104年度管制類課程</t>
  </si>
  <si>
    <t>113全年度管制類課程</t>
  </si>
  <si>
    <t>106年餐飲類課程</t>
  </si>
  <si>
    <t>113年餐飲類課程</t>
  </si>
  <si>
    <t>核定總補助費</t>
  </si>
  <si>
    <t>核定
總班次</t>
  </si>
  <si>
    <t>管制類課程
核定總補助費</t>
  </si>
  <si>
    <t>管制類課程占比總補助費</t>
  </si>
  <si>
    <t>管制類課程核定總班次</t>
  </si>
  <si>
    <t>班次</t>
  </si>
  <si>
    <t>管制類課程核定班次</t>
  </si>
  <si>
    <t>管制類課程
核定總補助費
(A)</t>
  </si>
  <si>
    <t>管制類課程
核定總班次
(C)</t>
  </si>
  <si>
    <t>總核定班次
(E)</t>
  </si>
  <si>
    <t>核定總補助費
(B)</t>
  </si>
  <si>
    <t>核定總班次
(D)</t>
  </si>
  <si>
    <t>核配總補助費之規模比率
(A/B)</t>
  </si>
  <si>
    <t>核配班次之規模比率
(C/D)</t>
  </si>
  <si>
    <t>餐飲類課程核定總班次</t>
  </si>
  <si>
    <t>總核定班次</t>
  </si>
  <si>
    <t>餐飲類課程核定比率</t>
  </si>
  <si>
    <t>餐飲類課程核定比率
(C/E)</t>
  </si>
  <si>
    <t xml:space="preserve">產投
</t>
  </si>
  <si>
    <t>北分署</t>
  </si>
  <si>
    <t>手工藝類(5%)</t>
  </si>
  <si>
    <t>-</t>
  </si>
  <si>
    <t>美容美髮類(5%)</t>
  </si>
  <si>
    <t>餐飲類(15%)</t>
  </si>
  <si>
    <t>加總(25%)</t>
  </si>
  <si>
    <t>桃分署</t>
  </si>
  <si>
    <t>中分署</t>
  </si>
  <si>
    <t>南分署</t>
  </si>
  <si>
    <t>高分署</t>
  </si>
  <si>
    <t>五分署</t>
  </si>
  <si>
    <t>※ 手工藝製作課程：業別代碼─02-04、07-01、07-03</t>
  </si>
  <si>
    <t>※ 美容美髮彩粧課程：業別代碼─03-02、03-03、03-04、03-05</t>
  </si>
  <si>
    <t>※ 餐飲及食品加工類：業別代碼─21-01、21-02、21-03、30-01、30-02</t>
  </si>
  <si>
    <t>※ 產投計畫美容美髮彩妝、手工藝製作各不得超過5％，且以不超過104年度核定規模為原則，餐飲及食品加工類不超15%（且不超過分署106核定之比率）。</t>
  </si>
  <si>
    <t>※ 考量南分屬美容美髮類104年基期較低，故前已同意手工藝與美容美髮合併計算。</t>
  </si>
  <si>
    <t>※ 依據113年度第1次聯繫會議紀錄決議：二計畫之美容美髮、手工藝品製作類課程不得超過104年度核定規模；或以104年核定總班數為基期計算前開職類核定比例之規模為上限。</t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</si>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</sst>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9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6" fontId="4" fillId="2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/>
    </xf>
    <xf numFmtId="10" fontId="6" fillId="0" borderId="1" xfId="0" applyNumberFormat="1" applyFont="1" applyFill="1" applyBorder="1" applyAlignment="1" applyProtection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6" fontId="6" fillId="3" borderId="1" xfId="0" applyNumberFormat="1" applyFont="1" applyFill="1" applyBorder="1" applyAlignment="1" applyProtection="1">
      <alignment horizontal="center" vertical="center"/>
    </xf>
    <xf numFmtId="3" fontId="6" fillId="3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6" fontId="0" fillId="0" borderId="0" xfId="0" applyNumberFormat="1" applyFont="1" applyFill="1" applyBorder="1" applyAlignment="1" applyProtection="1">
      <alignment vertical="center"/>
    </xf>
    <xf numFmtId="6" fontId="2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6" fontId="0" fillId="0" borderId="0" xfId="0" applyNumberFormat="1" applyFont="1" applyFill="1" applyBorder="1" applyAlignment="1" applyProtection="1">
      <alignment horizontal="right" vertical="center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6" fontId="6" fillId="0" borderId="1" xfId="0" applyNumberFormat="1" applyFont="1" applyFill="1" applyBorder="1" applyAlignment="1" applyProtection="1">
      <alignment horizontal="right" vertical="center"/>
    </xf>
    <xf numFmtId="6" fontId="6" fillId="3" borderId="1" xfId="0" applyNumberFormat="1" applyFont="1" applyFill="1" applyBorder="1" applyAlignment="1" applyProtection="1">
      <alignment horizontal="right" vertical="center"/>
    </xf>
    <xf numFmtId="6" fontId="6" fillId="0" borderId="1" xfId="0" applyNumberFormat="1" applyFont="1" applyFill="1" applyBorder="1" applyAlignment="1" applyProtection="1">
      <alignment horizontal="center" vertical="top"/>
    </xf>
    <xf numFmtId="6" fontId="6" fillId="3" borderId="1" xfId="0" applyNumberFormat="1" applyFont="1" applyFill="1" applyBorder="1" applyAlignment="1" applyProtection="1">
      <alignment horizontal="center" vertical="top"/>
    </xf>
    <xf numFmtId="0" fontId="6" fillId="0" borderId="1" xfId="0" applyNumberFormat="1" applyFont="1" applyFill="1" applyBorder="1" applyAlignment="1" applyProtection="1">
      <alignment horizontal="center" vertical="top"/>
    </xf>
    <xf numFmtId="0" fontId="6" fillId="3" borderId="1" xfId="0" applyNumberFormat="1" applyFont="1" applyFill="1" applyBorder="1" applyAlignment="1" applyProtection="1">
      <alignment horizontal="center" vertical="top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6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6" fontId="6" fillId="0" borderId="1" xfId="0" applyNumberFormat="1" applyFont="1" applyFill="1" applyBorder="1" applyAlignment="1" applyProtection="1">
      <alignment horizontal="right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6" fontId="4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5"/>
  <sheetViews>
    <sheetView tabSelected="1" view="pageBreakPreview" zoomScale="60" zoomScaleNormal="70" workbookViewId="0">
      <selection activeCell="A2" sqref="A1:A1048576"/>
    </sheetView>
  </sheetViews>
  <sheetFormatPr defaultRowHeight="16.5" x14ac:dyDescent="0.25"/>
  <cols>
    <col min="1" max="1" width="5.625" customWidth="1"/>
    <col min="2" max="2" width="9.625" customWidth="1"/>
    <col min="3" max="3" width="23.625" customWidth="1"/>
    <col min="4" max="4" width="20.625" customWidth="1"/>
    <col min="5" max="5" width="11.625" customWidth="1"/>
    <col min="6" max="6" width="22.625" customWidth="1"/>
    <col min="7" max="7" width="12.625" customWidth="1"/>
    <col min="8" max="8" width="15.625" customWidth="1"/>
    <col min="9" max="9" width="11.625" customWidth="1"/>
    <col min="10" max="10" width="20.625" customWidth="1"/>
    <col min="11" max="11" width="11.625" customWidth="1"/>
    <col min="12" max="12" width="22.625" customWidth="1"/>
    <col min="13" max="13" width="11.625" customWidth="1"/>
    <col min="14" max="14" width="12.625" customWidth="1"/>
    <col min="15" max="15" width="22.625" customWidth="1"/>
    <col min="16" max="16" width="11.625" customWidth="1"/>
    <col min="17" max="19" width="15.625" customWidth="1"/>
    <col min="20" max="20" width="12.625" customWidth="1"/>
    <col min="21" max="21" width="14.625" customWidth="1"/>
    <col min="22" max="22" width="27.625" customWidth="1"/>
  </cols>
  <sheetData>
    <row r="1" spans="1:22" ht="21" x14ac:dyDescent="0.25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32" t="s">
        <v>0</v>
      </c>
      <c r="L1" s="32" t="s">
        <v>0</v>
      </c>
      <c r="M1" s="32" t="s">
        <v>0</v>
      </c>
      <c r="N1" s="32" t="s">
        <v>0</v>
      </c>
      <c r="O1" s="32" t="s">
        <v>0</v>
      </c>
      <c r="P1" s="32" t="s">
        <v>0</v>
      </c>
      <c r="Q1" s="32" t="s">
        <v>0</v>
      </c>
      <c r="R1" s="32" t="s">
        <v>0</v>
      </c>
      <c r="S1" s="32" t="s">
        <v>0</v>
      </c>
      <c r="T1" s="32" t="s">
        <v>0</v>
      </c>
      <c r="U1" s="32" t="s">
        <v>0</v>
      </c>
      <c r="V1" s="32" t="s">
        <v>0</v>
      </c>
    </row>
    <row r="2" spans="1:22" ht="25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3" t="s">
        <v>1</v>
      </c>
    </row>
    <row r="3" spans="1:22" ht="21" x14ac:dyDescent="0.25">
      <c r="A3" s="35" t="s">
        <v>2</v>
      </c>
      <c r="B3" s="35" t="s">
        <v>3</v>
      </c>
      <c r="C3" s="35" t="s">
        <v>4</v>
      </c>
      <c r="D3" s="36" t="s">
        <v>5</v>
      </c>
      <c r="E3" s="36"/>
      <c r="F3" s="36"/>
      <c r="G3" s="36"/>
      <c r="H3" s="36"/>
      <c r="I3" s="36"/>
      <c r="J3" s="36" t="s">
        <v>6</v>
      </c>
      <c r="K3" s="36"/>
      <c r="L3" s="34" t="s">
        <v>7</v>
      </c>
      <c r="M3" s="34"/>
      <c r="N3" s="34"/>
      <c r="O3" s="37" t="s">
        <v>8</v>
      </c>
      <c r="P3" s="37"/>
      <c r="Q3" s="37"/>
      <c r="R3" s="37"/>
      <c r="S3" s="37" t="s">
        <v>9</v>
      </c>
      <c r="T3" s="37"/>
      <c r="U3" s="37"/>
      <c r="V3" s="37"/>
    </row>
    <row r="4" spans="1:22" ht="21" x14ac:dyDescent="0.25">
      <c r="A4" s="35"/>
      <c r="B4" s="35"/>
      <c r="C4" s="35"/>
      <c r="D4" s="36"/>
      <c r="E4" s="36"/>
      <c r="F4" s="36"/>
      <c r="G4" s="36"/>
      <c r="H4" s="36"/>
      <c r="I4" s="36"/>
      <c r="J4" s="36"/>
      <c r="K4" s="36"/>
      <c r="L4" s="34"/>
      <c r="M4" s="34"/>
      <c r="N4" s="34"/>
      <c r="O4" s="37" t="s">
        <v>10</v>
      </c>
      <c r="P4" s="37"/>
      <c r="Q4" s="34" t="s">
        <v>11</v>
      </c>
      <c r="R4" s="34"/>
      <c r="S4" s="34" t="s">
        <v>12</v>
      </c>
      <c r="T4" s="34"/>
      <c r="U4" s="34"/>
      <c r="V4" s="2" t="s">
        <v>13</v>
      </c>
    </row>
    <row r="5" spans="1:22" ht="105" x14ac:dyDescent="0.25">
      <c r="A5" s="35"/>
      <c r="B5" s="35"/>
      <c r="C5" s="35"/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3" t="s">
        <v>19</v>
      </c>
      <c r="J5" s="2" t="s">
        <v>16</v>
      </c>
      <c r="K5" s="2" t="s">
        <v>20</v>
      </c>
      <c r="L5" s="2" t="s">
        <v>21</v>
      </c>
      <c r="M5" s="2" t="s">
        <v>22</v>
      </c>
      <c r="N5" s="2" t="s">
        <v>23</v>
      </c>
      <c r="O5" s="4" t="s">
        <v>24</v>
      </c>
      <c r="P5" s="4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2" t="s">
        <v>30</v>
      </c>
      <c r="V5" s="17" t="s">
        <v>31</v>
      </c>
    </row>
    <row r="6" spans="1:22" ht="21" x14ac:dyDescent="0.25">
      <c r="A6" s="31" t="s">
        <v>32</v>
      </c>
      <c r="B6" s="27" t="s">
        <v>33</v>
      </c>
      <c r="C6" s="5" t="s">
        <v>34</v>
      </c>
      <c r="D6" s="28" t="s">
        <v>50</v>
      </c>
      <c r="E6" s="29" t="s">
        <v>50</v>
      </c>
      <c r="F6" s="20" t="s">
        <v>50</v>
      </c>
      <c r="G6" s="22" t="s">
        <v>50</v>
      </c>
      <c r="H6" s="22" t="s">
        <v>50</v>
      </c>
      <c r="I6" s="22" t="s">
        <v>50</v>
      </c>
      <c r="J6" s="20" t="s">
        <v>50</v>
      </c>
      <c r="K6" s="22" t="s">
        <v>50</v>
      </c>
      <c r="L6" s="20" t="s">
        <v>50</v>
      </c>
      <c r="M6" s="22" t="s">
        <v>50</v>
      </c>
      <c r="N6" s="29" t="s">
        <v>50</v>
      </c>
      <c r="O6" s="18">
        <v>6552696</v>
      </c>
      <c r="P6" s="8">
        <v>41</v>
      </c>
      <c r="Q6" s="22" t="s">
        <v>50</v>
      </c>
      <c r="R6" s="22" t="s">
        <v>50</v>
      </c>
      <c r="S6" s="8" t="s">
        <v>35</v>
      </c>
      <c r="T6" s="26">
        <v>759</v>
      </c>
      <c r="U6" s="6" t="s">
        <v>35</v>
      </c>
      <c r="V6" s="25" t="s">
        <v>35</v>
      </c>
    </row>
    <row r="7" spans="1:22" ht="21" x14ac:dyDescent="0.25">
      <c r="A7" s="31"/>
      <c r="B7" s="27"/>
      <c r="C7" s="5" t="s">
        <v>36</v>
      </c>
      <c r="D7" s="28"/>
      <c r="E7" s="29"/>
      <c r="F7" s="20" t="s">
        <v>50</v>
      </c>
      <c r="G7" s="22" t="s">
        <v>50</v>
      </c>
      <c r="H7" s="22" t="s">
        <v>50</v>
      </c>
      <c r="I7" s="22" t="s">
        <v>50</v>
      </c>
      <c r="J7" s="20" t="s">
        <v>50</v>
      </c>
      <c r="K7" s="22" t="s">
        <v>50</v>
      </c>
      <c r="L7" s="20" t="s">
        <v>50</v>
      </c>
      <c r="M7" s="22" t="s">
        <v>50</v>
      </c>
      <c r="N7" s="29"/>
      <c r="O7" s="18">
        <v>7250848</v>
      </c>
      <c r="P7" s="8">
        <v>53</v>
      </c>
      <c r="Q7" s="22" t="s">
        <v>50</v>
      </c>
      <c r="R7" s="22" t="s">
        <v>50</v>
      </c>
      <c r="S7" s="8" t="s">
        <v>35</v>
      </c>
      <c r="T7" s="26"/>
      <c r="U7" s="6" t="s">
        <v>35</v>
      </c>
      <c r="V7" s="25" t="s">
        <v>35</v>
      </c>
    </row>
    <row r="8" spans="1:22" ht="21" x14ac:dyDescent="0.25">
      <c r="A8" s="31"/>
      <c r="B8" s="27"/>
      <c r="C8" s="5" t="s">
        <v>37</v>
      </c>
      <c r="D8" s="28"/>
      <c r="E8" s="29"/>
      <c r="F8" s="20" t="s">
        <v>50</v>
      </c>
      <c r="G8" s="22" t="s">
        <v>50</v>
      </c>
      <c r="H8" s="22" t="s">
        <v>50</v>
      </c>
      <c r="I8" s="22" t="s">
        <v>50</v>
      </c>
      <c r="J8" s="20" t="s">
        <v>50</v>
      </c>
      <c r="K8" s="22" t="s">
        <v>50</v>
      </c>
      <c r="L8" s="20" t="s">
        <v>50</v>
      </c>
      <c r="M8" s="22" t="s">
        <v>50</v>
      </c>
      <c r="N8" s="29"/>
      <c r="O8" s="18" t="s">
        <v>35</v>
      </c>
      <c r="P8" s="8" t="s">
        <v>35</v>
      </c>
      <c r="Q8" s="22" t="s">
        <v>50</v>
      </c>
      <c r="R8" s="22" t="s">
        <v>50</v>
      </c>
      <c r="S8" s="8">
        <v>55</v>
      </c>
      <c r="T8" s="26"/>
      <c r="U8" s="7">
        <f>S8/T6</f>
        <v>7.2463768115942032E-2</v>
      </c>
      <c r="V8" s="25"/>
    </row>
    <row r="9" spans="1:22" ht="21" x14ac:dyDescent="0.25">
      <c r="A9" s="31"/>
      <c r="B9" s="27"/>
      <c r="C9" s="9" t="s">
        <v>38</v>
      </c>
      <c r="D9" s="10" t="s">
        <v>50</v>
      </c>
      <c r="E9" s="24" t="s">
        <v>50</v>
      </c>
      <c r="F9" s="21" t="s">
        <v>50</v>
      </c>
      <c r="G9" s="23" t="s">
        <v>50</v>
      </c>
      <c r="H9" s="23" t="s">
        <v>50</v>
      </c>
      <c r="I9" s="23" t="s">
        <v>50</v>
      </c>
      <c r="J9" s="21" t="s">
        <v>50</v>
      </c>
      <c r="K9" s="23" t="s">
        <v>50</v>
      </c>
      <c r="L9" s="21" t="s">
        <v>50</v>
      </c>
      <c r="M9" s="23" t="s">
        <v>50</v>
      </c>
      <c r="N9" s="24" t="s">
        <v>50</v>
      </c>
      <c r="O9" s="19">
        <f>SUM(O6:O8)</f>
        <v>13803544</v>
      </c>
      <c r="P9" s="11">
        <f>SUM(P6:P8)</f>
        <v>94</v>
      </c>
      <c r="Q9" s="23" t="s">
        <v>50</v>
      </c>
      <c r="R9" s="23" t="s">
        <v>50</v>
      </c>
      <c r="S9" s="11" t="s">
        <v>35</v>
      </c>
      <c r="T9" s="10" t="s">
        <v>35</v>
      </c>
      <c r="U9" s="10" t="s">
        <v>35</v>
      </c>
      <c r="V9" s="24" t="s">
        <v>35</v>
      </c>
    </row>
    <row r="10" spans="1:22" ht="21" x14ac:dyDescent="0.25">
      <c r="A10" s="31"/>
      <c r="B10" s="27" t="s">
        <v>39</v>
      </c>
      <c r="C10" s="5" t="s">
        <v>34</v>
      </c>
      <c r="D10" s="28" t="s">
        <v>50</v>
      </c>
      <c r="E10" s="29" t="s">
        <v>50</v>
      </c>
      <c r="F10" s="20" t="s">
        <v>50</v>
      </c>
      <c r="G10" s="22" t="s">
        <v>50</v>
      </c>
      <c r="H10" s="22" t="s">
        <v>50</v>
      </c>
      <c r="I10" s="22" t="s">
        <v>50</v>
      </c>
      <c r="J10" s="20" t="s">
        <v>50</v>
      </c>
      <c r="K10" s="22" t="s">
        <v>50</v>
      </c>
      <c r="L10" s="20" t="s">
        <v>50</v>
      </c>
      <c r="M10" s="22" t="s">
        <v>50</v>
      </c>
      <c r="N10" s="29" t="s">
        <v>50</v>
      </c>
      <c r="O10" s="18">
        <v>8340840</v>
      </c>
      <c r="P10" s="8">
        <v>49</v>
      </c>
      <c r="Q10" s="22" t="s">
        <v>50</v>
      </c>
      <c r="R10" s="22" t="s">
        <v>50</v>
      </c>
      <c r="S10" s="8" t="s">
        <v>35</v>
      </c>
      <c r="T10" s="26">
        <v>497</v>
      </c>
      <c r="U10" s="6" t="s">
        <v>35</v>
      </c>
      <c r="V10" s="25" t="s">
        <v>35</v>
      </c>
    </row>
    <row r="11" spans="1:22" ht="21" x14ac:dyDescent="0.25">
      <c r="A11" s="31"/>
      <c r="B11" s="27"/>
      <c r="C11" s="5" t="s">
        <v>36</v>
      </c>
      <c r="D11" s="28"/>
      <c r="E11" s="29"/>
      <c r="F11" s="20" t="s">
        <v>50</v>
      </c>
      <c r="G11" s="22" t="s">
        <v>50</v>
      </c>
      <c r="H11" s="22" t="s">
        <v>50</v>
      </c>
      <c r="I11" s="22" t="s">
        <v>50</v>
      </c>
      <c r="J11" s="20" t="s">
        <v>50</v>
      </c>
      <c r="K11" s="22" t="s">
        <v>50</v>
      </c>
      <c r="L11" s="20" t="s">
        <v>50</v>
      </c>
      <c r="M11" s="22" t="s">
        <v>50</v>
      </c>
      <c r="N11" s="29"/>
      <c r="O11" s="18">
        <v>8849616</v>
      </c>
      <c r="P11" s="8">
        <v>47</v>
      </c>
      <c r="Q11" s="22" t="s">
        <v>50</v>
      </c>
      <c r="R11" s="22" t="s">
        <v>50</v>
      </c>
      <c r="S11" s="8" t="s">
        <v>35</v>
      </c>
      <c r="T11" s="26"/>
      <c r="U11" s="6" t="s">
        <v>35</v>
      </c>
      <c r="V11" s="25" t="s">
        <v>35</v>
      </c>
    </row>
    <row r="12" spans="1:22" ht="21" x14ac:dyDescent="0.25">
      <c r="A12" s="31"/>
      <c r="B12" s="27"/>
      <c r="C12" s="5" t="s">
        <v>37</v>
      </c>
      <c r="D12" s="28"/>
      <c r="E12" s="29"/>
      <c r="F12" s="20" t="s">
        <v>50</v>
      </c>
      <c r="G12" s="22" t="s">
        <v>50</v>
      </c>
      <c r="H12" s="22" t="s">
        <v>50</v>
      </c>
      <c r="I12" s="22" t="s">
        <v>50</v>
      </c>
      <c r="J12" s="20" t="s">
        <v>50</v>
      </c>
      <c r="K12" s="22" t="s">
        <v>50</v>
      </c>
      <c r="L12" s="20" t="s">
        <v>50</v>
      </c>
      <c r="M12" s="22" t="s">
        <v>50</v>
      </c>
      <c r="N12" s="29"/>
      <c r="O12" s="18" t="s">
        <v>35</v>
      </c>
      <c r="P12" s="8" t="s">
        <v>35</v>
      </c>
      <c r="Q12" s="22" t="s">
        <v>50</v>
      </c>
      <c r="R12" s="22" t="s">
        <v>50</v>
      </c>
      <c r="S12" s="8">
        <v>48</v>
      </c>
      <c r="T12" s="26"/>
      <c r="U12" s="7">
        <f>S12/T10</f>
        <v>9.6579476861166996E-2</v>
      </c>
      <c r="V12" s="25"/>
    </row>
    <row r="13" spans="1:22" ht="21" x14ac:dyDescent="0.25">
      <c r="A13" s="31"/>
      <c r="B13" s="27"/>
      <c r="C13" s="9" t="s">
        <v>38</v>
      </c>
      <c r="D13" s="10" t="s">
        <v>50</v>
      </c>
      <c r="E13" s="24" t="s">
        <v>50</v>
      </c>
      <c r="F13" s="21" t="s">
        <v>50</v>
      </c>
      <c r="G13" s="23" t="s">
        <v>50</v>
      </c>
      <c r="H13" s="23" t="s">
        <v>50</v>
      </c>
      <c r="I13" s="23" t="s">
        <v>50</v>
      </c>
      <c r="J13" s="21" t="s">
        <v>50</v>
      </c>
      <c r="K13" s="23" t="s">
        <v>50</v>
      </c>
      <c r="L13" s="21" t="s">
        <v>50</v>
      </c>
      <c r="M13" s="23" t="s">
        <v>50</v>
      </c>
      <c r="N13" s="24" t="s">
        <v>50</v>
      </c>
      <c r="O13" s="19">
        <f>SUM(O10:O12)</f>
        <v>17190456</v>
      </c>
      <c r="P13" s="11">
        <f>SUM(P10:P12)</f>
        <v>96</v>
      </c>
      <c r="Q13" s="23" t="s">
        <v>50</v>
      </c>
      <c r="R13" s="23" t="s">
        <v>50</v>
      </c>
      <c r="S13" s="11" t="s">
        <v>35</v>
      </c>
      <c r="T13" s="10" t="s">
        <v>35</v>
      </c>
      <c r="U13" s="10" t="s">
        <v>35</v>
      </c>
      <c r="V13" s="24" t="s">
        <v>35</v>
      </c>
    </row>
    <row r="14" spans="1:22" ht="21" x14ac:dyDescent="0.25">
      <c r="A14" s="31"/>
      <c r="B14" s="27" t="s">
        <v>40</v>
      </c>
      <c r="C14" s="5" t="s">
        <v>34</v>
      </c>
      <c r="D14" s="28" t="s">
        <v>50</v>
      </c>
      <c r="E14" s="29" t="s">
        <v>50</v>
      </c>
      <c r="F14" s="20" t="s">
        <v>50</v>
      </c>
      <c r="G14" s="22" t="s">
        <v>50</v>
      </c>
      <c r="H14" s="22" t="s">
        <v>50</v>
      </c>
      <c r="I14" s="22" t="s">
        <v>50</v>
      </c>
      <c r="J14" s="20" t="s">
        <v>50</v>
      </c>
      <c r="K14" s="22" t="s">
        <v>50</v>
      </c>
      <c r="L14" s="20" t="s">
        <v>50</v>
      </c>
      <c r="M14" s="22" t="s">
        <v>50</v>
      </c>
      <c r="N14" s="29" t="s">
        <v>50</v>
      </c>
      <c r="O14" s="18">
        <v>13202768</v>
      </c>
      <c r="P14" s="8">
        <v>69</v>
      </c>
      <c r="Q14" s="22" t="s">
        <v>50</v>
      </c>
      <c r="R14" s="22" t="s">
        <v>50</v>
      </c>
      <c r="S14" s="8" t="s">
        <v>35</v>
      </c>
      <c r="T14" s="26">
        <v>734</v>
      </c>
      <c r="U14" s="6" t="s">
        <v>35</v>
      </c>
      <c r="V14" s="25" t="s">
        <v>35</v>
      </c>
    </row>
    <row r="15" spans="1:22" ht="21" x14ac:dyDescent="0.25">
      <c r="A15" s="31"/>
      <c r="B15" s="27"/>
      <c r="C15" s="5" t="s">
        <v>36</v>
      </c>
      <c r="D15" s="28"/>
      <c r="E15" s="29"/>
      <c r="F15" s="20" t="s">
        <v>50</v>
      </c>
      <c r="G15" s="22" t="s">
        <v>50</v>
      </c>
      <c r="H15" s="22" t="s">
        <v>50</v>
      </c>
      <c r="I15" s="22" t="s">
        <v>50</v>
      </c>
      <c r="J15" s="20" t="s">
        <v>50</v>
      </c>
      <c r="K15" s="22" t="s">
        <v>50</v>
      </c>
      <c r="L15" s="20" t="s">
        <v>50</v>
      </c>
      <c r="M15" s="22" t="s">
        <v>50</v>
      </c>
      <c r="N15" s="29"/>
      <c r="O15" s="18">
        <v>5162016</v>
      </c>
      <c r="P15" s="8">
        <v>36</v>
      </c>
      <c r="Q15" s="22" t="s">
        <v>50</v>
      </c>
      <c r="R15" s="22" t="s">
        <v>50</v>
      </c>
      <c r="S15" s="8" t="s">
        <v>35</v>
      </c>
      <c r="T15" s="26"/>
      <c r="U15" s="6" t="s">
        <v>35</v>
      </c>
      <c r="V15" s="25" t="s">
        <v>35</v>
      </c>
    </row>
    <row r="16" spans="1:22" ht="21" x14ac:dyDescent="0.25">
      <c r="A16" s="31"/>
      <c r="B16" s="27"/>
      <c r="C16" s="5" t="s">
        <v>37</v>
      </c>
      <c r="D16" s="28"/>
      <c r="E16" s="29"/>
      <c r="F16" s="20" t="s">
        <v>50</v>
      </c>
      <c r="G16" s="22" t="s">
        <v>50</v>
      </c>
      <c r="H16" s="22" t="s">
        <v>50</v>
      </c>
      <c r="I16" s="22" t="s">
        <v>50</v>
      </c>
      <c r="J16" s="20" t="s">
        <v>50</v>
      </c>
      <c r="K16" s="22" t="s">
        <v>50</v>
      </c>
      <c r="L16" s="20" t="s">
        <v>50</v>
      </c>
      <c r="M16" s="22" t="s">
        <v>50</v>
      </c>
      <c r="N16" s="29"/>
      <c r="O16" s="18" t="s">
        <v>35</v>
      </c>
      <c r="P16" s="8" t="s">
        <v>35</v>
      </c>
      <c r="Q16" s="22" t="s">
        <v>50</v>
      </c>
      <c r="R16" s="22" t="s">
        <v>50</v>
      </c>
      <c r="S16" s="8">
        <v>115</v>
      </c>
      <c r="T16" s="26"/>
      <c r="U16" s="7">
        <f>S16/T14</f>
        <v>0.1566757493188011</v>
      </c>
      <c r="V16" s="25"/>
    </row>
    <row r="17" spans="1:22" ht="21" x14ac:dyDescent="0.25">
      <c r="A17" s="31"/>
      <c r="B17" s="27"/>
      <c r="C17" s="9" t="s">
        <v>38</v>
      </c>
      <c r="D17" s="10" t="s">
        <v>50</v>
      </c>
      <c r="E17" s="24" t="s">
        <v>50</v>
      </c>
      <c r="F17" s="21" t="s">
        <v>50</v>
      </c>
      <c r="G17" s="23" t="s">
        <v>50</v>
      </c>
      <c r="H17" s="23" t="s">
        <v>50</v>
      </c>
      <c r="I17" s="23" t="s">
        <v>50</v>
      </c>
      <c r="J17" s="21" t="s">
        <v>50</v>
      </c>
      <c r="K17" s="23" t="s">
        <v>50</v>
      </c>
      <c r="L17" s="21" t="s">
        <v>50</v>
      </c>
      <c r="M17" s="23" t="s">
        <v>50</v>
      </c>
      <c r="N17" s="24" t="s">
        <v>50</v>
      </c>
      <c r="O17" s="19">
        <f>SUM(O14:O16)</f>
        <v>18364784</v>
      </c>
      <c r="P17" s="11">
        <f>SUM(P14:P16)</f>
        <v>105</v>
      </c>
      <c r="Q17" s="23" t="s">
        <v>50</v>
      </c>
      <c r="R17" s="23" t="s">
        <v>50</v>
      </c>
      <c r="S17" s="11" t="s">
        <v>35</v>
      </c>
      <c r="T17" s="10" t="s">
        <v>35</v>
      </c>
      <c r="U17" s="10" t="s">
        <v>35</v>
      </c>
      <c r="V17" s="24" t="s">
        <v>35</v>
      </c>
    </row>
    <row r="18" spans="1:22" ht="21" x14ac:dyDescent="0.25">
      <c r="A18" s="31"/>
      <c r="B18" s="27" t="s">
        <v>41</v>
      </c>
      <c r="C18" s="5" t="s">
        <v>34</v>
      </c>
      <c r="D18" s="28" t="s">
        <v>50</v>
      </c>
      <c r="E18" s="29" t="s">
        <v>50</v>
      </c>
      <c r="F18" s="20" t="s">
        <v>50</v>
      </c>
      <c r="G18" s="22" t="s">
        <v>50</v>
      </c>
      <c r="H18" s="22" t="s">
        <v>50</v>
      </c>
      <c r="I18" s="22" t="s">
        <v>50</v>
      </c>
      <c r="J18" s="20" t="s">
        <v>50</v>
      </c>
      <c r="K18" s="22" t="s">
        <v>50</v>
      </c>
      <c r="L18" s="20" t="s">
        <v>50</v>
      </c>
      <c r="M18" s="22" t="s">
        <v>50</v>
      </c>
      <c r="N18" s="29" t="s">
        <v>50</v>
      </c>
      <c r="O18" s="30">
        <v>11672608</v>
      </c>
      <c r="P18" s="26">
        <v>55</v>
      </c>
      <c r="Q18" s="22" t="s">
        <v>50</v>
      </c>
      <c r="R18" s="22" t="s">
        <v>50</v>
      </c>
      <c r="S18" s="8" t="s">
        <v>35</v>
      </c>
      <c r="T18" s="26">
        <v>594</v>
      </c>
      <c r="U18" s="6" t="s">
        <v>35</v>
      </c>
      <c r="V18" s="25" t="s">
        <v>35</v>
      </c>
    </row>
    <row r="19" spans="1:22" ht="21" x14ac:dyDescent="0.25">
      <c r="A19" s="31"/>
      <c r="B19" s="27"/>
      <c r="C19" s="5" t="s">
        <v>36</v>
      </c>
      <c r="D19" s="28"/>
      <c r="E19" s="29"/>
      <c r="F19" s="20" t="s">
        <v>50</v>
      </c>
      <c r="G19" s="22" t="s">
        <v>50</v>
      </c>
      <c r="H19" s="22" t="s">
        <v>50</v>
      </c>
      <c r="I19" s="22" t="s">
        <v>50</v>
      </c>
      <c r="J19" s="20" t="s">
        <v>50</v>
      </c>
      <c r="K19" s="22" t="s">
        <v>50</v>
      </c>
      <c r="L19" s="20" t="s">
        <v>50</v>
      </c>
      <c r="M19" s="22" t="s">
        <v>50</v>
      </c>
      <c r="N19" s="29"/>
      <c r="O19" s="30"/>
      <c r="P19" s="26"/>
      <c r="Q19" s="22" t="s">
        <v>50</v>
      </c>
      <c r="R19" s="22" t="s">
        <v>50</v>
      </c>
      <c r="S19" s="8" t="s">
        <v>35</v>
      </c>
      <c r="T19" s="26"/>
      <c r="U19" s="6" t="s">
        <v>35</v>
      </c>
      <c r="V19" s="25" t="s">
        <v>35</v>
      </c>
    </row>
    <row r="20" spans="1:22" ht="21" x14ac:dyDescent="0.25">
      <c r="A20" s="31"/>
      <c r="B20" s="27"/>
      <c r="C20" s="5" t="s">
        <v>37</v>
      </c>
      <c r="D20" s="28"/>
      <c r="E20" s="29"/>
      <c r="F20" s="20" t="s">
        <v>50</v>
      </c>
      <c r="G20" s="22" t="s">
        <v>50</v>
      </c>
      <c r="H20" s="22" t="s">
        <v>50</v>
      </c>
      <c r="I20" s="22" t="s">
        <v>50</v>
      </c>
      <c r="J20" s="20" t="s">
        <v>50</v>
      </c>
      <c r="K20" s="22" t="s">
        <v>50</v>
      </c>
      <c r="L20" s="20" t="s">
        <v>50</v>
      </c>
      <c r="M20" s="22" t="s">
        <v>50</v>
      </c>
      <c r="N20" s="29"/>
      <c r="O20" s="18" t="s">
        <v>35</v>
      </c>
      <c r="P20" s="8" t="s">
        <v>35</v>
      </c>
      <c r="Q20" s="22" t="s">
        <v>50</v>
      </c>
      <c r="R20" s="22" t="s">
        <v>50</v>
      </c>
      <c r="S20" s="8">
        <v>79</v>
      </c>
      <c r="T20" s="26"/>
      <c r="U20" s="7">
        <f>S20/T18</f>
        <v>0.132996632996633</v>
      </c>
      <c r="V20" s="25"/>
    </row>
    <row r="21" spans="1:22" ht="21" x14ac:dyDescent="0.25">
      <c r="A21" s="31"/>
      <c r="B21" s="27"/>
      <c r="C21" s="9" t="s">
        <v>38</v>
      </c>
      <c r="D21" s="10" t="s">
        <v>50</v>
      </c>
      <c r="E21" s="24" t="s">
        <v>50</v>
      </c>
      <c r="F21" s="21" t="s">
        <v>50</v>
      </c>
      <c r="G21" s="23" t="s">
        <v>50</v>
      </c>
      <c r="H21" s="23" t="s">
        <v>50</v>
      </c>
      <c r="I21" s="23" t="s">
        <v>50</v>
      </c>
      <c r="J21" s="21" t="s">
        <v>50</v>
      </c>
      <c r="K21" s="23" t="s">
        <v>50</v>
      </c>
      <c r="L21" s="21" t="s">
        <v>50</v>
      </c>
      <c r="M21" s="23" t="s">
        <v>50</v>
      </c>
      <c r="N21" s="24" t="s">
        <v>50</v>
      </c>
      <c r="O21" s="19">
        <f>SUM(O18:O20)</f>
        <v>11672608</v>
      </c>
      <c r="P21" s="11">
        <f>SUM(P18:P20)</f>
        <v>55</v>
      </c>
      <c r="Q21" s="23" t="s">
        <v>50</v>
      </c>
      <c r="R21" s="23" t="s">
        <v>50</v>
      </c>
      <c r="S21" s="11" t="s">
        <v>35</v>
      </c>
      <c r="T21" s="10" t="s">
        <v>35</v>
      </c>
      <c r="U21" s="10" t="s">
        <v>35</v>
      </c>
      <c r="V21" s="24" t="s">
        <v>35</v>
      </c>
    </row>
    <row r="22" spans="1:22" ht="21" x14ac:dyDescent="0.25">
      <c r="A22" s="31"/>
      <c r="B22" s="27" t="s">
        <v>42</v>
      </c>
      <c r="C22" s="5" t="s">
        <v>34</v>
      </c>
      <c r="D22" s="28" t="s">
        <v>50</v>
      </c>
      <c r="E22" s="29" t="s">
        <v>50</v>
      </c>
      <c r="F22" s="20" t="s">
        <v>50</v>
      </c>
      <c r="G22" s="22" t="s">
        <v>50</v>
      </c>
      <c r="H22" s="22" t="s">
        <v>50</v>
      </c>
      <c r="I22" s="22" t="s">
        <v>50</v>
      </c>
      <c r="J22" s="20" t="s">
        <v>50</v>
      </c>
      <c r="K22" s="22" t="s">
        <v>50</v>
      </c>
      <c r="L22" s="20" t="s">
        <v>50</v>
      </c>
      <c r="M22" s="22" t="s">
        <v>50</v>
      </c>
      <c r="N22" s="29" t="s">
        <v>50</v>
      </c>
      <c r="O22" s="18">
        <v>3786608</v>
      </c>
      <c r="P22" s="8">
        <v>23</v>
      </c>
      <c r="Q22" s="22" t="s">
        <v>50</v>
      </c>
      <c r="R22" s="22" t="s">
        <v>50</v>
      </c>
      <c r="S22" s="8" t="s">
        <v>35</v>
      </c>
      <c r="T22" s="26">
        <v>627</v>
      </c>
      <c r="U22" s="6" t="s">
        <v>35</v>
      </c>
      <c r="V22" s="25" t="s">
        <v>35</v>
      </c>
    </row>
    <row r="23" spans="1:22" ht="21" x14ac:dyDescent="0.25">
      <c r="A23" s="31"/>
      <c r="B23" s="27"/>
      <c r="C23" s="5" t="s">
        <v>36</v>
      </c>
      <c r="D23" s="28"/>
      <c r="E23" s="29"/>
      <c r="F23" s="20" t="s">
        <v>50</v>
      </c>
      <c r="G23" s="22" t="s">
        <v>50</v>
      </c>
      <c r="H23" s="22" t="s">
        <v>50</v>
      </c>
      <c r="I23" s="22" t="s">
        <v>50</v>
      </c>
      <c r="J23" s="20" t="s">
        <v>50</v>
      </c>
      <c r="K23" s="22" t="s">
        <v>50</v>
      </c>
      <c r="L23" s="20" t="s">
        <v>50</v>
      </c>
      <c r="M23" s="22" t="s">
        <v>50</v>
      </c>
      <c r="N23" s="29"/>
      <c r="O23" s="18">
        <v>11890760</v>
      </c>
      <c r="P23" s="8">
        <v>47</v>
      </c>
      <c r="Q23" s="22" t="s">
        <v>50</v>
      </c>
      <c r="R23" s="22" t="s">
        <v>50</v>
      </c>
      <c r="S23" s="8" t="s">
        <v>35</v>
      </c>
      <c r="T23" s="26"/>
      <c r="U23" s="6" t="s">
        <v>35</v>
      </c>
      <c r="V23" s="25" t="s">
        <v>35</v>
      </c>
    </row>
    <row r="24" spans="1:22" ht="21" x14ac:dyDescent="0.25">
      <c r="A24" s="31"/>
      <c r="B24" s="27"/>
      <c r="C24" s="5" t="s">
        <v>37</v>
      </c>
      <c r="D24" s="28"/>
      <c r="E24" s="29"/>
      <c r="F24" s="20" t="s">
        <v>50</v>
      </c>
      <c r="G24" s="22" t="s">
        <v>50</v>
      </c>
      <c r="H24" s="22" t="s">
        <v>50</v>
      </c>
      <c r="I24" s="22" t="s">
        <v>50</v>
      </c>
      <c r="J24" s="20" t="s">
        <v>50</v>
      </c>
      <c r="K24" s="22" t="s">
        <v>50</v>
      </c>
      <c r="L24" s="20" t="s">
        <v>50</v>
      </c>
      <c r="M24" s="22" t="s">
        <v>50</v>
      </c>
      <c r="N24" s="29"/>
      <c r="O24" s="18" t="s">
        <v>35</v>
      </c>
      <c r="P24" s="8" t="s">
        <v>35</v>
      </c>
      <c r="Q24" s="22" t="s">
        <v>50</v>
      </c>
      <c r="R24" s="22" t="s">
        <v>50</v>
      </c>
      <c r="S24" s="8">
        <v>71</v>
      </c>
      <c r="T24" s="26"/>
      <c r="U24" s="7">
        <f>S24/T22</f>
        <v>0.11323763955342903</v>
      </c>
      <c r="V24" s="25"/>
    </row>
    <row r="25" spans="1:22" ht="21" x14ac:dyDescent="0.25">
      <c r="A25" s="31"/>
      <c r="B25" s="27"/>
      <c r="C25" s="9" t="s">
        <v>38</v>
      </c>
      <c r="D25" s="10" t="s">
        <v>50</v>
      </c>
      <c r="E25" s="24" t="s">
        <v>50</v>
      </c>
      <c r="F25" s="21" t="s">
        <v>50</v>
      </c>
      <c r="G25" s="23" t="s">
        <v>50</v>
      </c>
      <c r="H25" s="23" t="s">
        <v>50</v>
      </c>
      <c r="I25" s="23" t="s">
        <v>50</v>
      </c>
      <c r="J25" s="21" t="s">
        <v>50</v>
      </c>
      <c r="K25" s="23" t="s">
        <v>50</v>
      </c>
      <c r="L25" s="21" t="s">
        <v>50</v>
      </c>
      <c r="M25" s="23" t="s">
        <v>50</v>
      </c>
      <c r="N25" s="24" t="s">
        <v>50</v>
      </c>
      <c r="O25" s="19">
        <f>SUM(O22:O24)</f>
        <v>15677368</v>
      </c>
      <c r="P25" s="11">
        <f>SUM(P22:P24)</f>
        <v>70</v>
      </c>
      <c r="Q25" s="23" t="s">
        <v>50</v>
      </c>
      <c r="R25" s="23" t="s">
        <v>50</v>
      </c>
      <c r="S25" s="11" t="s">
        <v>35</v>
      </c>
      <c r="T25" s="10" t="s">
        <v>35</v>
      </c>
      <c r="U25" s="10" t="s">
        <v>35</v>
      </c>
      <c r="V25" s="24" t="s">
        <v>35</v>
      </c>
    </row>
    <row r="26" spans="1:22" ht="21" x14ac:dyDescent="0.25">
      <c r="A26" s="31"/>
      <c r="B26" s="27" t="s">
        <v>43</v>
      </c>
      <c r="C26" s="5" t="s">
        <v>34</v>
      </c>
      <c r="D26" s="28" t="s">
        <v>50</v>
      </c>
      <c r="E26" s="29" t="s">
        <v>50</v>
      </c>
      <c r="F26" s="20" t="s">
        <v>50</v>
      </c>
      <c r="G26" s="22" t="s">
        <v>50</v>
      </c>
      <c r="H26" s="22" t="s">
        <v>50</v>
      </c>
      <c r="I26" s="22" t="s">
        <v>50</v>
      </c>
      <c r="J26" s="20" t="s">
        <v>50</v>
      </c>
      <c r="K26" s="22" t="s">
        <v>50</v>
      </c>
      <c r="L26" s="20" t="s">
        <v>50</v>
      </c>
      <c r="M26" s="22" t="s">
        <v>50</v>
      </c>
      <c r="N26" s="29" t="s">
        <v>50</v>
      </c>
      <c r="O26" s="18">
        <f>O6+O10+O14+O18+O22</f>
        <v>43555520</v>
      </c>
      <c r="P26" s="8">
        <f>P6+P10+P14+P18+P22</f>
        <v>237</v>
      </c>
      <c r="Q26" s="22" t="s">
        <v>50</v>
      </c>
      <c r="R26" s="22" t="s">
        <v>50</v>
      </c>
      <c r="S26" s="8" t="s">
        <v>35</v>
      </c>
      <c r="T26" s="26">
        <f>T6+T10+T14+T18+T22</f>
        <v>3211</v>
      </c>
      <c r="U26" s="6" t="s">
        <v>35</v>
      </c>
      <c r="V26" s="25" t="s">
        <v>35</v>
      </c>
    </row>
    <row r="27" spans="1:22" ht="21" x14ac:dyDescent="0.25">
      <c r="A27" s="31"/>
      <c r="B27" s="27"/>
      <c r="C27" s="5" t="s">
        <v>36</v>
      </c>
      <c r="D27" s="28"/>
      <c r="E27" s="29"/>
      <c r="F27" s="20" t="s">
        <v>50</v>
      </c>
      <c r="G27" s="22" t="s">
        <v>50</v>
      </c>
      <c r="H27" s="22" t="s">
        <v>50</v>
      </c>
      <c r="I27" s="22" t="s">
        <v>50</v>
      </c>
      <c r="J27" s="20" t="s">
        <v>50</v>
      </c>
      <c r="K27" s="22" t="s">
        <v>50</v>
      </c>
      <c r="L27" s="20" t="s">
        <v>50</v>
      </c>
      <c r="M27" s="22" t="s">
        <v>50</v>
      </c>
      <c r="N27" s="29"/>
      <c r="O27" s="18">
        <f>O7+O11+O15+O19+O23</f>
        <v>33153240</v>
      </c>
      <c r="P27" s="8">
        <f>P7+P11+P15+P19+P23</f>
        <v>183</v>
      </c>
      <c r="Q27" s="22" t="s">
        <v>50</v>
      </c>
      <c r="R27" s="22" t="s">
        <v>50</v>
      </c>
      <c r="S27" s="8" t="s">
        <v>35</v>
      </c>
      <c r="T27" s="26"/>
      <c r="U27" s="6" t="s">
        <v>35</v>
      </c>
      <c r="V27" s="25" t="s">
        <v>35</v>
      </c>
    </row>
    <row r="28" spans="1:22" ht="21" x14ac:dyDescent="0.25">
      <c r="A28" s="31"/>
      <c r="B28" s="27"/>
      <c r="C28" s="5" t="s">
        <v>37</v>
      </c>
      <c r="D28" s="28"/>
      <c r="E28" s="29"/>
      <c r="F28" s="20" t="s">
        <v>50</v>
      </c>
      <c r="G28" s="22" t="s">
        <v>50</v>
      </c>
      <c r="H28" s="22" t="s">
        <v>50</v>
      </c>
      <c r="I28" s="22" t="s">
        <v>50</v>
      </c>
      <c r="J28" s="20" t="s">
        <v>50</v>
      </c>
      <c r="K28" s="22" t="s">
        <v>50</v>
      </c>
      <c r="L28" s="20" t="s">
        <v>50</v>
      </c>
      <c r="M28" s="22" t="s">
        <v>50</v>
      </c>
      <c r="N28" s="29"/>
      <c r="O28" s="18" t="s">
        <v>35</v>
      </c>
      <c r="P28" s="8" t="s">
        <v>35</v>
      </c>
      <c r="Q28" s="22" t="s">
        <v>50</v>
      </c>
      <c r="R28" s="22" t="s">
        <v>50</v>
      </c>
      <c r="S28" s="8">
        <f>S8+S12+S16+S20+S24</f>
        <v>368</v>
      </c>
      <c r="T28" s="26"/>
      <c r="U28" s="7">
        <f>S28/T26</f>
        <v>0.1146060417315478</v>
      </c>
      <c r="V28" s="25"/>
    </row>
    <row r="29" spans="1:22" ht="21" x14ac:dyDescent="0.25">
      <c r="A29" s="31"/>
      <c r="B29" s="27"/>
      <c r="C29" s="9" t="s">
        <v>38</v>
      </c>
      <c r="D29" s="10" t="s">
        <v>50</v>
      </c>
      <c r="E29" s="24" t="s">
        <v>50</v>
      </c>
      <c r="F29" s="21" t="s">
        <v>50</v>
      </c>
      <c r="G29" s="23" t="s">
        <v>50</v>
      </c>
      <c r="H29" s="23" t="s">
        <v>50</v>
      </c>
      <c r="I29" s="23" t="s">
        <v>50</v>
      </c>
      <c r="J29" s="21" t="s">
        <v>50</v>
      </c>
      <c r="K29" s="23" t="s">
        <v>50</v>
      </c>
      <c r="L29" s="21" t="s">
        <v>50</v>
      </c>
      <c r="M29" s="23" t="s">
        <v>50</v>
      </c>
      <c r="N29" s="24" t="s">
        <v>50</v>
      </c>
      <c r="O29" s="19">
        <f>SUM(O26:O28)</f>
        <v>76708760</v>
      </c>
      <c r="P29" s="11">
        <f>SUM(P26:P28)</f>
        <v>420</v>
      </c>
      <c r="Q29" s="23" t="s">
        <v>50</v>
      </c>
      <c r="R29" s="23" t="s">
        <v>50</v>
      </c>
      <c r="S29" s="11" t="s">
        <v>35</v>
      </c>
      <c r="T29" s="10" t="s">
        <v>35</v>
      </c>
      <c r="U29" s="10" t="s">
        <v>35</v>
      </c>
      <c r="V29" s="24" t="s">
        <v>35</v>
      </c>
    </row>
    <row r="30" spans="1:22" x14ac:dyDescent="0.25">
      <c r="A30" s="12" t="s">
        <v>44</v>
      </c>
      <c r="O30" s="13"/>
      <c r="P30" s="13"/>
    </row>
    <row r="31" spans="1:22" x14ac:dyDescent="0.25">
      <c r="A31" s="12" t="s">
        <v>45</v>
      </c>
      <c r="O31" s="13"/>
      <c r="P31" s="13"/>
    </row>
    <row r="32" spans="1:22" x14ac:dyDescent="0.25">
      <c r="A32" s="12" t="s">
        <v>46</v>
      </c>
      <c r="O32" s="13"/>
      <c r="P32" s="13"/>
    </row>
    <row r="33" spans="1:22" x14ac:dyDescent="0.25">
      <c r="A33" s="12" t="s">
        <v>47</v>
      </c>
      <c r="N33" s="13"/>
      <c r="O33" s="13"/>
      <c r="P33" s="13"/>
    </row>
    <row r="34" spans="1:22" x14ac:dyDescent="0.25">
      <c r="A34" s="12" t="s">
        <v>48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4"/>
      <c r="P34" s="14"/>
      <c r="Q34" s="12"/>
      <c r="R34" s="12"/>
      <c r="S34" s="12"/>
      <c r="T34" s="12"/>
      <c r="U34" s="12"/>
      <c r="V34" s="12"/>
    </row>
    <row r="35" spans="1:22" x14ac:dyDescent="0.25">
      <c r="A35" s="15" t="s">
        <v>49</v>
      </c>
      <c r="O35" s="13"/>
      <c r="P35" s="16"/>
    </row>
  </sheetData>
  <mergeCells count="46">
    <mergeCell ref="A1:V1"/>
    <mergeCell ref="V2"/>
    <mergeCell ref="Q4:R4"/>
    <mergeCell ref="S4:U4"/>
    <mergeCell ref="A3:A5"/>
    <mergeCell ref="B3:B5"/>
    <mergeCell ref="C3:C5"/>
    <mergeCell ref="D3:I4"/>
    <mergeCell ref="J3:K4"/>
    <mergeCell ref="L3:N4"/>
    <mergeCell ref="O3:R3"/>
    <mergeCell ref="S3:V3"/>
    <mergeCell ref="O4:P4"/>
    <mergeCell ref="A6:A29"/>
    <mergeCell ref="B6:B9"/>
    <mergeCell ref="D6:D8"/>
    <mergeCell ref="E6:E8"/>
    <mergeCell ref="N6:N8"/>
    <mergeCell ref="B14:B17"/>
    <mergeCell ref="D14:D16"/>
    <mergeCell ref="E14:E16"/>
    <mergeCell ref="N14:N16"/>
    <mergeCell ref="B22:B25"/>
    <mergeCell ref="D22:D24"/>
    <mergeCell ref="E22:E24"/>
    <mergeCell ref="N22:N24"/>
    <mergeCell ref="T6:T8"/>
    <mergeCell ref="B10:B13"/>
    <mergeCell ref="D10:D12"/>
    <mergeCell ref="E10:E12"/>
    <mergeCell ref="N10:N12"/>
    <mergeCell ref="T10:T12"/>
    <mergeCell ref="T14:T16"/>
    <mergeCell ref="B18:B21"/>
    <mergeCell ref="D18:D20"/>
    <mergeCell ref="E18:E20"/>
    <mergeCell ref="N18:N20"/>
    <mergeCell ref="O18:O19"/>
    <mergeCell ref="P18:P19"/>
    <mergeCell ref="T18:T20"/>
    <mergeCell ref="T22:T24"/>
    <mergeCell ref="B26:B29"/>
    <mergeCell ref="D26:D28"/>
    <mergeCell ref="E26:E28"/>
    <mergeCell ref="N26:N28"/>
    <mergeCell ref="T26:T28"/>
  </mergeCells>
  <phoneticPr fontId="2" type="noConversion"/>
  <pageMargins left="0.7" right="0.7" top="0.75" bottom="0.75" header="0.3" footer="0.3"/>
  <pageSetup paperSize="8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cp:lastPrinted>2025-04-08T12:21:10Z</cp:lastPrinted>
  <dcterms:created xsi:type="dcterms:W3CDTF">2025-04-07T07:31:37Z</dcterms:created>
  <dcterms:modified xsi:type="dcterms:W3CDTF">2025-04-09T01:39:09Z</dcterms:modified>
</cp:coreProperties>
</file>